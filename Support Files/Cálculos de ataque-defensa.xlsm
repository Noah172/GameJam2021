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F:\HOLBERTON\AR-VR\Unity\GameJams\Game Maker's Toolkit\GameJam2021\Support Files\"/>
    </mc:Choice>
  </mc:AlternateContent>
  <xr:revisionPtr revIDLastSave="0" documentId="8_{BDD7C1A9-A4FD-4022-AA41-CE99A424DD80}" xr6:coauthVersionLast="47" xr6:coauthVersionMax="47" xr10:uidLastSave="{00000000-0000-0000-0000-000000000000}"/>
  <bookViews>
    <workbookView xWindow="28680" yWindow="-120" windowWidth="20730" windowHeight="11160" activeTab="1" xr2:uid="{06933786-2BF2-4AA4-A42C-170B53B999F5}"/>
  </bookViews>
  <sheets>
    <sheet name="Hoja1 (6)" sheetId="8" r:id="rId1"/>
    <sheet name="Hoja1 (5)" sheetId="7" r:id="rId2"/>
    <sheet name="Hoja1 (4)" sheetId="6" r:id="rId3"/>
    <sheet name="Hoja1 (3)" sheetId="5" r:id="rId4"/>
    <sheet name="Hoja1 (2)" sheetId="3" r:id="rId5"/>
    <sheet name="Hoja1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9" i="1" l="1"/>
  <c r="H18" i="1"/>
  <c r="I5" i="1" s="1"/>
  <c r="J5" i="1" s="1"/>
  <c r="J6" i="1" s="1"/>
  <c r="K6" i="1" s="1"/>
  <c r="P10" i="1"/>
  <c r="O10" i="1"/>
  <c r="N10" i="1"/>
  <c r="P9" i="1"/>
  <c r="O9" i="1"/>
  <c r="N9" i="1"/>
  <c r="K12" i="1"/>
  <c r="K12" i="3"/>
  <c r="K12" i="5"/>
  <c r="K12" i="6"/>
  <c r="K12" i="7"/>
  <c r="K12" i="8"/>
  <c r="S2" i="8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" i="8"/>
  <c r="E26" i="8"/>
  <c r="D26" i="8"/>
  <c r="E25" i="8"/>
  <c r="D25" i="8"/>
  <c r="E24" i="8"/>
  <c r="D24" i="8"/>
  <c r="E23" i="8"/>
  <c r="D23" i="8"/>
  <c r="E22" i="8"/>
  <c r="D22" i="8"/>
  <c r="E21" i="8"/>
  <c r="D21" i="8"/>
  <c r="H20" i="8"/>
  <c r="E20" i="8"/>
  <c r="D20" i="8"/>
  <c r="H19" i="8"/>
  <c r="E19" i="8"/>
  <c r="D19" i="8"/>
  <c r="H18" i="8"/>
  <c r="E18" i="8"/>
  <c r="D18" i="8"/>
  <c r="I17" i="8"/>
  <c r="H25" i="8" s="1"/>
  <c r="H17" i="8"/>
  <c r="E17" i="8"/>
  <c r="D17" i="8"/>
  <c r="K10" i="8"/>
  <c r="M5" i="8" s="1"/>
  <c r="K9" i="8"/>
  <c r="K5" i="8"/>
  <c r="M2" i="8"/>
  <c r="K2" i="8"/>
  <c r="J2" i="8"/>
  <c r="F2" i="8"/>
  <c r="F11" i="8" s="1"/>
  <c r="G11" i="8" s="1"/>
  <c r="B2" i="8"/>
  <c r="B9" i="8" s="1"/>
  <c r="H18" i="7"/>
  <c r="H19" i="7"/>
  <c r="H20" i="7"/>
  <c r="H21" i="7"/>
  <c r="H22" i="7"/>
  <c r="H23" i="7"/>
  <c r="H24" i="7"/>
  <c r="H25" i="7"/>
  <c r="H17" i="7"/>
  <c r="I17" i="7"/>
  <c r="E26" i="7"/>
  <c r="D26" i="7"/>
  <c r="E25" i="7"/>
  <c r="D25" i="7"/>
  <c r="E24" i="7"/>
  <c r="D24" i="7"/>
  <c r="E23" i="7"/>
  <c r="D23" i="7"/>
  <c r="E22" i="7"/>
  <c r="D22" i="7"/>
  <c r="E21" i="7"/>
  <c r="D21" i="7"/>
  <c r="E20" i="7"/>
  <c r="D20" i="7"/>
  <c r="E19" i="7"/>
  <c r="D19" i="7"/>
  <c r="E18" i="7"/>
  <c r="D18" i="7"/>
  <c r="E17" i="7"/>
  <c r="D17" i="7"/>
  <c r="K10" i="7"/>
  <c r="K9" i="7"/>
  <c r="M2" i="7" s="1"/>
  <c r="B7" i="7"/>
  <c r="M5" i="7"/>
  <c r="K5" i="7"/>
  <c r="I5" i="7"/>
  <c r="B4" i="7"/>
  <c r="K2" i="7"/>
  <c r="J2" i="7"/>
  <c r="F2" i="7"/>
  <c r="F12" i="7" s="1"/>
  <c r="G12" i="7" s="1"/>
  <c r="B2" i="7"/>
  <c r="B11" i="7" s="1"/>
  <c r="E26" i="6"/>
  <c r="D26" i="6"/>
  <c r="H25" i="6"/>
  <c r="E25" i="6"/>
  <c r="D25" i="6"/>
  <c r="H24" i="6"/>
  <c r="E24" i="6"/>
  <c r="D24" i="6"/>
  <c r="H23" i="6"/>
  <c r="E23" i="6"/>
  <c r="D23" i="6"/>
  <c r="H22" i="6"/>
  <c r="E22" i="6"/>
  <c r="D22" i="6"/>
  <c r="H21" i="6"/>
  <c r="E21" i="6"/>
  <c r="D21" i="6"/>
  <c r="H20" i="6"/>
  <c r="E20" i="6"/>
  <c r="D20" i="6"/>
  <c r="H19" i="6"/>
  <c r="E19" i="6"/>
  <c r="D19" i="6"/>
  <c r="H18" i="6"/>
  <c r="E18" i="6"/>
  <c r="D18" i="6"/>
  <c r="H17" i="6"/>
  <c r="I5" i="6" s="1"/>
  <c r="E17" i="6"/>
  <c r="E29" i="6" s="1"/>
  <c r="L5" i="6" s="1"/>
  <c r="D17" i="6"/>
  <c r="K10" i="6"/>
  <c r="M5" i="6" s="1"/>
  <c r="K9" i="6"/>
  <c r="B9" i="6"/>
  <c r="B7" i="6"/>
  <c r="B6" i="6"/>
  <c r="K5" i="6"/>
  <c r="B5" i="6"/>
  <c r="B4" i="6"/>
  <c r="B3" i="6"/>
  <c r="M2" i="6"/>
  <c r="K2" i="6"/>
  <c r="J2" i="6"/>
  <c r="F2" i="6"/>
  <c r="F12" i="6" s="1"/>
  <c r="G12" i="6" s="1"/>
  <c r="B2" i="6"/>
  <c r="B11" i="6" s="1"/>
  <c r="H20" i="5"/>
  <c r="H21" i="5"/>
  <c r="H22" i="5"/>
  <c r="H23" i="5"/>
  <c r="H24" i="5"/>
  <c r="H25" i="5"/>
  <c r="H18" i="5"/>
  <c r="H19" i="5"/>
  <c r="H1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E29" i="5" s="1"/>
  <c r="D17" i="5"/>
  <c r="K10" i="5"/>
  <c r="M5" i="5" s="1"/>
  <c r="K9" i="5"/>
  <c r="K5" i="5"/>
  <c r="M2" i="5"/>
  <c r="K2" i="5"/>
  <c r="J2" i="5"/>
  <c r="F2" i="5"/>
  <c r="F11" i="5" s="1"/>
  <c r="G11" i="5" s="1"/>
  <c r="B2" i="5"/>
  <c r="B9" i="5" s="1"/>
  <c r="K9" i="3"/>
  <c r="K10" i="3"/>
  <c r="M5" i="3" s="1"/>
  <c r="H18" i="3"/>
  <c r="H1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F9" i="3"/>
  <c r="K5" i="3"/>
  <c r="M2" i="3"/>
  <c r="K2" i="3"/>
  <c r="J2" i="3"/>
  <c r="F2" i="3"/>
  <c r="F10" i="3" s="1"/>
  <c r="G10" i="3" s="1"/>
  <c r="B2" i="3"/>
  <c r="B12" i="3" s="1"/>
  <c r="B2" i="1"/>
  <c r="B7" i="1" s="1"/>
  <c r="F2" i="1"/>
  <c r="F11" i="1" s="1"/>
  <c r="M5" i="1"/>
  <c r="M2" i="1"/>
  <c r="E18" i="1"/>
  <c r="E19" i="1"/>
  <c r="E20" i="1"/>
  <c r="E21" i="1"/>
  <c r="E22" i="1"/>
  <c r="E23" i="1"/>
  <c r="E24" i="1"/>
  <c r="E25" i="1"/>
  <c r="E26" i="1"/>
  <c r="E17" i="1"/>
  <c r="D18" i="1"/>
  <c r="D19" i="1"/>
  <c r="D20" i="1"/>
  <c r="D21" i="1"/>
  <c r="D22" i="1"/>
  <c r="D23" i="1"/>
  <c r="D24" i="1"/>
  <c r="D25" i="1"/>
  <c r="D26" i="1"/>
  <c r="D17" i="1"/>
  <c r="K5" i="1"/>
  <c r="K2" i="1"/>
  <c r="J2" i="1"/>
  <c r="H24" i="8" l="1"/>
  <c r="F9" i="8"/>
  <c r="F4" i="8"/>
  <c r="F7" i="8"/>
  <c r="F4" i="3"/>
  <c r="F12" i="3"/>
  <c r="G12" i="3" s="1"/>
  <c r="F7" i="3"/>
  <c r="B11" i="3"/>
  <c r="D29" i="8"/>
  <c r="L2" i="8" s="1"/>
  <c r="E29" i="8"/>
  <c r="L5" i="8" s="1"/>
  <c r="B3" i="8"/>
  <c r="B5" i="8"/>
  <c r="N2" i="8"/>
  <c r="B6" i="8"/>
  <c r="B8" i="8"/>
  <c r="B12" i="8"/>
  <c r="H23" i="8"/>
  <c r="F3" i="8"/>
  <c r="F5" i="8"/>
  <c r="F6" i="8"/>
  <c r="F8" i="8"/>
  <c r="B10" i="8"/>
  <c r="B11" i="8"/>
  <c r="F12" i="8"/>
  <c r="G12" i="8" s="1"/>
  <c r="H22" i="8"/>
  <c r="B4" i="8"/>
  <c r="B7" i="8"/>
  <c r="F10" i="8"/>
  <c r="G10" i="8" s="1"/>
  <c r="H21" i="8"/>
  <c r="I5" i="8" s="1"/>
  <c r="J5" i="8" s="1"/>
  <c r="D29" i="7"/>
  <c r="L2" i="7" s="1"/>
  <c r="N2" i="7" s="1"/>
  <c r="B9" i="7"/>
  <c r="E29" i="7"/>
  <c r="L5" i="7" s="1"/>
  <c r="F11" i="7"/>
  <c r="G11" i="7" s="1"/>
  <c r="F9" i="7"/>
  <c r="B3" i="7"/>
  <c r="B5" i="7"/>
  <c r="B6" i="7"/>
  <c r="B8" i="7"/>
  <c r="B12" i="7"/>
  <c r="F10" i="7"/>
  <c r="G10" i="7" s="1"/>
  <c r="F4" i="7"/>
  <c r="F7" i="7"/>
  <c r="F3" i="7"/>
  <c r="F5" i="7"/>
  <c r="F6" i="7"/>
  <c r="F8" i="7"/>
  <c r="B10" i="7"/>
  <c r="D29" i="6"/>
  <c r="L2" i="6" s="1"/>
  <c r="N2" i="6" s="1"/>
  <c r="F10" i="6"/>
  <c r="G10" i="6" s="1"/>
  <c r="F4" i="6"/>
  <c r="F7" i="6"/>
  <c r="F9" i="6"/>
  <c r="F11" i="6"/>
  <c r="G11" i="6" s="1"/>
  <c r="B8" i="6"/>
  <c r="B12" i="6"/>
  <c r="F3" i="6"/>
  <c r="F5" i="6"/>
  <c r="F6" i="6"/>
  <c r="F8" i="6"/>
  <c r="B10" i="6"/>
  <c r="I5" i="5"/>
  <c r="D29" i="3"/>
  <c r="L2" i="3" s="1"/>
  <c r="N2" i="3" s="1"/>
  <c r="D29" i="5"/>
  <c r="L2" i="5" s="1"/>
  <c r="N2" i="5" s="1"/>
  <c r="L5" i="5"/>
  <c r="F4" i="5"/>
  <c r="F7" i="5"/>
  <c r="F9" i="5"/>
  <c r="B3" i="5"/>
  <c r="B5" i="5"/>
  <c r="B6" i="5"/>
  <c r="B8" i="5"/>
  <c r="B12" i="5"/>
  <c r="F3" i="5"/>
  <c r="F5" i="5"/>
  <c r="F6" i="5"/>
  <c r="F8" i="5"/>
  <c r="B10" i="5"/>
  <c r="B11" i="5"/>
  <c r="F12" i="5"/>
  <c r="G12" i="5" s="1"/>
  <c r="B4" i="5"/>
  <c r="B7" i="5"/>
  <c r="F10" i="5"/>
  <c r="G10" i="5" s="1"/>
  <c r="I5" i="3"/>
  <c r="J5" i="3" s="1"/>
  <c r="J6" i="3" s="1"/>
  <c r="K6" i="3" s="1"/>
  <c r="E29" i="3"/>
  <c r="L5" i="3" s="1"/>
  <c r="B3" i="3"/>
  <c r="B5" i="3"/>
  <c r="B6" i="3"/>
  <c r="B8" i="3"/>
  <c r="B10" i="3"/>
  <c r="F11" i="3"/>
  <c r="G11" i="3" s="1"/>
  <c r="F3" i="3"/>
  <c r="F5" i="3"/>
  <c r="F6" i="3"/>
  <c r="F8" i="3"/>
  <c r="B4" i="3"/>
  <c r="B7" i="3"/>
  <c r="B9" i="3"/>
  <c r="E29" i="1"/>
  <c r="L5" i="1" s="1"/>
  <c r="D29" i="1"/>
  <c r="L2" i="1" s="1"/>
  <c r="N2" i="1" s="1"/>
  <c r="F8" i="1"/>
  <c r="F4" i="1"/>
  <c r="F12" i="1"/>
  <c r="B6" i="1"/>
  <c r="B9" i="1"/>
  <c r="F5" i="1"/>
  <c r="F9" i="1"/>
  <c r="B10" i="1"/>
  <c r="B3" i="1"/>
  <c r="B5" i="1"/>
  <c r="B12" i="1"/>
  <c r="B8" i="1"/>
  <c r="B4" i="1"/>
  <c r="F6" i="1"/>
  <c r="F10" i="1"/>
  <c r="G10" i="1" s="1"/>
  <c r="B11" i="1"/>
  <c r="F3" i="1"/>
  <c r="F7" i="1"/>
  <c r="G12" i="1"/>
  <c r="G11" i="1"/>
  <c r="J5" i="5" l="1"/>
  <c r="N5" i="3"/>
  <c r="N5" i="1"/>
  <c r="J6" i="5" l="1"/>
  <c r="K6" i="5" s="1"/>
  <c r="J5" i="6"/>
  <c r="N5" i="5"/>
  <c r="J6" i="6" l="1"/>
  <c r="K6" i="6" s="1"/>
  <c r="N5" i="6"/>
  <c r="J5" i="7"/>
  <c r="J6" i="7" l="1"/>
  <c r="K6" i="7" s="1"/>
  <c r="N5" i="7"/>
  <c r="N5" i="8"/>
  <c r="J6" i="8" s="1"/>
  <c r="K6" i="8" s="1"/>
</calcChain>
</file>

<file path=xl/sharedStrings.xml><?xml version="1.0" encoding="utf-8"?>
<sst xmlns="http://schemas.openxmlformats.org/spreadsheetml/2006/main" count="132" uniqueCount="19">
  <si>
    <t>Atacante</t>
  </si>
  <si>
    <t>Defensor</t>
  </si>
  <si>
    <t>Dados</t>
  </si>
  <si>
    <t>Base</t>
  </si>
  <si>
    <t>Heroes</t>
  </si>
  <si>
    <t>Ejercito</t>
  </si>
  <si>
    <t>Civiles</t>
  </si>
  <si>
    <t>Daño</t>
  </si>
  <si>
    <t>Total</t>
  </si>
  <si>
    <t># Heroes</t>
  </si>
  <si>
    <t>Total Perdidos</t>
  </si>
  <si>
    <t>Número de Civiles</t>
  </si>
  <si>
    <t>Número Soldados</t>
  </si>
  <si>
    <t>Reputación</t>
  </si>
  <si>
    <t>Atk</t>
  </si>
  <si>
    <t>Def</t>
  </si>
  <si>
    <t>Atk Perdida</t>
  </si>
  <si>
    <t>Perdida</t>
  </si>
  <si>
    <t>Reputación con él mismo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</si>
</sst>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9" fontId="0" fillId="0" borderId="0" xfId="1" applyFont="1"/>
    <xf numFmtId="9" fontId="0" fillId="0" borderId="0" xfId="1" applyFont="1" applyAlignment="1">
      <alignment horizontal="center"/>
    </xf>
    <xf numFmtId="0" fontId="2" fillId="0" borderId="0" xfId="0" applyFont="1"/>
    <xf numFmtId="9" fontId="3" fillId="0" borderId="0" xfId="1" applyFont="1" applyAlignment="1">
      <alignment horizontal="center"/>
    </xf>
    <xf numFmtId="0" fontId="0" fillId="2" borderId="0" xfId="0" applyFill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DF9C3-1821-41D4-B66E-C44F8E4BD42E}">
  <dimension ref="A1:S100"/>
  <sheetViews>
    <sheetView topLeftCell="C1" workbookViewId="0">
      <selection activeCell="F1" sqref="F1"/>
    </sheetView>
  </sheetViews>
  <sheetFormatPr baseColWidth="10" defaultRowHeight="15" x14ac:dyDescent="0.2"/>
  <cols>
    <col min="10" max="10" width="15.21875" bestFit="1" customWidth="1"/>
    <col min="11" max="11" width="9.88671875" customWidth="1"/>
    <col min="18" max="19" width="11.5546875" style="1"/>
  </cols>
  <sheetData>
    <row r="1" spans="1:19" x14ac:dyDescent="0.2">
      <c r="A1" t="s">
        <v>0</v>
      </c>
      <c r="B1">
        <v>50</v>
      </c>
      <c r="E1" t="s">
        <v>1</v>
      </c>
      <c r="F1">
        <v>30</v>
      </c>
      <c r="I1" s="1" t="s">
        <v>7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8</v>
      </c>
      <c r="P1" s="1" t="s">
        <v>9</v>
      </c>
      <c r="R1" s="1">
        <v>10</v>
      </c>
      <c r="S1" s="5">
        <f>+R1/1000</f>
        <v>0.01</v>
      </c>
    </row>
    <row r="2" spans="1:19" x14ac:dyDescent="0.2">
      <c r="A2" t="s">
        <v>2</v>
      </c>
      <c r="B2">
        <f>(B1/10) + P2</f>
        <v>5</v>
      </c>
      <c r="E2" t="s">
        <v>2</v>
      </c>
      <c r="F2">
        <f>(F1/10) + P5</f>
        <v>6</v>
      </c>
      <c r="I2" s="1"/>
      <c r="J2" s="1">
        <f>1000-I2</f>
        <v>1000</v>
      </c>
      <c r="K2" s="1">
        <f>+P2*250</f>
        <v>0</v>
      </c>
      <c r="L2" s="1">
        <f>(B1-D29)*20</f>
        <v>1000</v>
      </c>
      <c r="M2" s="1">
        <f>+K9</f>
        <v>300</v>
      </c>
      <c r="N2" s="1">
        <f>+SUM(J2:M2)</f>
        <v>2300</v>
      </c>
      <c r="P2">
        <v>0</v>
      </c>
      <c r="R2" s="1">
        <v>20</v>
      </c>
      <c r="S2" s="5">
        <f t="shared" ref="S2:S65" si="0">+R2/1000</f>
        <v>0.02</v>
      </c>
    </row>
    <row r="3" spans="1:19" x14ac:dyDescent="0.2">
      <c r="A3">
        <v>1</v>
      </c>
      <c r="B3">
        <f ca="1">IF(B$2&gt;=A3,RANDBETWEEN(1,10),0)</f>
        <v>6</v>
      </c>
      <c r="E3">
        <v>1</v>
      </c>
      <c r="F3">
        <f ca="1">IF(F$2&gt;=E3,RANDBETWEEN(1,10),0)</f>
        <v>3</v>
      </c>
      <c r="R3" s="1">
        <v>30</v>
      </c>
      <c r="S3" s="5">
        <f t="shared" si="0"/>
        <v>0.03</v>
      </c>
    </row>
    <row r="4" spans="1:19" x14ac:dyDescent="0.2">
      <c r="A4">
        <v>2</v>
      </c>
      <c r="B4">
        <f t="shared" ref="B4:B12" ca="1" si="1">IF(B$2&gt;=A4,RANDBETWEEN(1,10),0)</f>
        <v>2</v>
      </c>
      <c r="E4">
        <v>2</v>
      </c>
      <c r="F4">
        <f t="shared" ref="F4:F12" ca="1" si="2">IF(F$2&gt;=E4,RANDBETWEEN(1,10),0)</f>
        <v>8</v>
      </c>
      <c r="I4" s="1" t="s">
        <v>7</v>
      </c>
      <c r="J4" s="1" t="s">
        <v>3</v>
      </c>
      <c r="K4" s="1" t="s">
        <v>4</v>
      </c>
      <c r="L4" s="1" t="s">
        <v>5</v>
      </c>
      <c r="M4" s="1" t="s">
        <v>6</v>
      </c>
      <c r="N4" s="1" t="s">
        <v>8</v>
      </c>
      <c r="R4" s="1">
        <v>40</v>
      </c>
      <c r="S4" s="5">
        <f t="shared" si="0"/>
        <v>0.04</v>
      </c>
    </row>
    <row r="5" spans="1:19" x14ac:dyDescent="0.2">
      <c r="A5">
        <v>3</v>
      </c>
      <c r="B5">
        <f t="shared" ca="1" si="1"/>
        <v>9</v>
      </c>
      <c r="E5">
        <v>3</v>
      </c>
      <c r="F5">
        <f t="shared" ca="1" si="2"/>
        <v>3</v>
      </c>
      <c r="I5" s="1">
        <f>+SUM(H17:H25)</f>
        <v>180</v>
      </c>
      <c r="J5" s="1">
        <f>+'Hoja1 (5)'!J5-'Hoja1 (6)'!I5</f>
        <v>260</v>
      </c>
      <c r="K5" s="1">
        <f>+P5*250</f>
        <v>750</v>
      </c>
      <c r="L5" s="1">
        <f>+(F1-E29)*20</f>
        <v>600</v>
      </c>
      <c r="M5" s="1">
        <f>+K10</f>
        <v>400</v>
      </c>
      <c r="N5" s="1">
        <f>+SUM(J5:M5)</f>
        <v>2010</v>
      </c>
      <c r="P5">
        <v>3</v>
      </c>
      <c r="R5" s="1">
        <v>50</v>
      </c>
      <c r="S5" s="5">
        <f t="shared" si="0"/>
        <v>0.05</v>
      </c>
    </row>
    <row r="6" spans="1:19" x14ac:dyDescent="0.2">
      <c r="A6">
        <v>4</v>
      </c>
      <c r="B6">
        <f t="shared" ca="1" si="1"/>
        <v>1</v>
      </c>
      <c r="E6">
        <v>4</v>
      </c>
      <c r="F6">
        <f t="shared" ca="1" si="2"/>
        <v>9</v>
      </c>
      <c r="J6" s="5">
        <f>1-((N5/1000) * (K12*10)/(K12*10+K10) + K14)</f>
        <v>0.13857142857142868</v>
      </c>
      <c r="K6" s="5">
        <f>IF(J6&lt;0,0,J6)</f>
        <v>0.13857142857142868</v>
      </c>
      <c r="R6" s="1">
        <v>60</v>
      </c>
      <c r="S6" s="5">
        <f t="shared" si="0"/>
        <v>0.06</v>
      </c>
    </row>
    <row r="7" spans="1:19" x14ac:dyDescent="0.2">
      <c r="A7">
        <v>5</v>
      </c>
      <c r="B7">
        <f t="shared" ca="1" si="1"/>
        <v>6</v>
      </c>
      <c r="E7">
        <v>5</v>
      </c>
      <c r="F7">
        <f t="shared" ca="1" si="2"/>
        <v>5</v>
      </c>
      <c r="R7" s="1">
        <v>70</v>
      </c>
      <c r="S7" s="5">
        <f t="shared" si="0"/>
        <v>7.0000000000000007E-2</v>
      </c>
    </row>
    <row r="8" spans="1:19" x14ac:dyDescent="0.2">
      <c r="A8">
        <v>6</v>
      </c>
      <c r="B8">
        <f t="shared" ca="1" si="1"/>
        <v>0</v>
      </c>
      <c r="E8">
        <v>6</v>
      </c>
      <c r="F8">
        <f t="shared" ca="1" si="2"/>
        <v>8</v>
      </c>
      <c r="R8" s="1">
        <v>80</v>
      </c>
      <c r="S8" s="5">
        <f t="shared" si="0"/>
        <v>0.08</v>
      </c>
    </row>
    <row r="9" spans="1:19" x14ac:dyDescent="0.2">
      <c r="A9">
        <v>7</v>
      </c>
      <c r="B9">
        <f t="shared" ca="1" si="1"/>
        <v>0</v>
      </c>
      <c r="E9">
        <v>7</v>
      </c>
      <c r="F9">
        <f t="shared" ca="1" si="2"/>
        <v>0</v>
      </c>
      <c r="J9" t="s">
        <v>11</v>
      </c>
      <c r="K9">
        <f>500-L9</f>
        <v>300</v>
      </c>
      <c r="L9">
        <v>200</v>
      </c>
      <c r="R9" s="1">
        <v>90</v>
      </c>
      <c r="S9" s="5">
        <f t="shared" si="0"/>
        <v>0.09</v>
      </c>
    </row>
    <row r="10" spans="1:19" x14ac:dyDescent="0.2">
      <c r="A10">
        <v>8</v>
      </c>
      <c r="B10">
        <f t="shared" ca="1" si="1"/>
        <v>0</v>
      </c>
      <c r="E10">
        <v>8</v>
      </c>
      <c r="F10">
        <f t="shared" ca="1" si="2"/>
        <v>0</v>
      </c>
      <c r="G10" t="str">
        <f ca="1">IF(F10=0,"",IF(F10&gt;K10,0,1))</f>
        <v/>
      </c>
      <c r="J10" t="s">
        <v>11</v>
      </c>
      <c r="K10">
        <f>700-L10</f>
        <v>400</v>
      </c>
      <c r="L10">
        <v>300</v>
      </c>
      <c r="R10" s="1">
        <v>100</v>
      </c>
      <c r="S10" s="5">
        <f t="shared" si="0"/>
        <v>0.1</v>
      </c>
    </row>
    <row r="11" spans="1:19" x14ac:dyDescent="0.2">
      <c r="A11">
        <v>9</v>
      </c>
      <c r="B11">
        <f t="shared" ca="1" si="1"/>
        <v>0</v>
      </c>
      <c r="E11">
        <v>9</v>
      </c>
      <c r="F11">
        <f t="shared" ca="1" si="2"/>
        <v>0</v>
      </c>
      <c r="G11" t="str">
        <f ca="1">IF(F11=0,"",IF(F11&gt;K11,0,1))</f>
        <v/>
      </c>
      <c r="R11" s="1">
        <v>110</v>
      </c>
      <c r="S11" s="5">
        <f t="shared" si="0"/>
        <v>0.11</v>
      </c>
    </row>
    <row r="12" spans="1:19" x14ac:dyDescent="0.2">
      <c r="A12">
        <v>10</v>
      </c>
      <c r="B12">
        <f t="shared" ca="1" si="1"/>
        <v>0</v>
      </c>
      <c r="E12">
        <v>10</v>
      </c>
      <c r="F12">
        <f t="shared" ca="1" si="2"/>
        <v>0</v>
      </c>
      <c r="G12" t="str">
        <f ca="1">IF(F12=0,"",IF(F12&gt;K12,0,1))</f>
        <v/>
      </c>
      <c r="J12" t="s">
        <v>12</v>
      </c>
      <c r="K12">
        <f>+F1</f>
        <v>30</v>
      </c>
      <c r="R12" s="1">
        <v>120</v>
      </c>
      <c r="S12" s="5">
        <f t="shared" si="0"/>
        <v>0.12</v>
      </c>
    </row>
    <row r="13" spans="1:19" x14ac:dyDescent="0.2">
      <c r="R13" s="1">
        <v>130</v>
      </c>
      <c r="S13" s="5">
        <f t="shared" si="0"/>
        <v>0.13</v>
      </c>
    </row>
    <row r="14" spans="1:19" x14ac:dyDescent="0.2">
      <c r="J14" t="s">
        <v>13</v>
      </c>
      <c r="K14" s="4">
        <v>0</v>
      </c>
      <c r="R14" s="1">
        <v>140</v>
      </c>
      <c r="S14" s="5">
        <f t="shared" si="0"/>
        <v>0.14000000000000001</v>
      </c>
    </row>
    <row r="15" spans="1:19" x14ac:dyDescent="0.2">
      <c r="R15" s="1">
        <v>150</v>
      </c>
      <c r="S15" s="5">
        <f t="shared" si="0"/>
        <v>0.15</v>
      </c>
    </row>
    <row r="16" spans="1:19" x14ac:dyDescent="0.2">
      <c r="R16" s="1">
        <v>160</v>
      </c>
      <c r="S16" s="5">
        <f t="shared" si="0"/>
        <v>0.16</v>
      </c>
    </row>
    <row r="17" spans="2:19" x14ac:dyDescent="0.2">
      <c r="B17">
        <v>4</v>
      </c>
      <c r="C17">
        <v>0</v>
      </c>
      <c r="D17">
        <f xml:space="preserve"> IF(OR(B17=0, C17=0),0,IF(B17&gt;C17,0,1))</f>
        <v>0</v>
      </c>
      <c r="E17">
        <f>IF(OR(B17=0, C17=0),0,IF(B17&lt;C17,0,1))</f>
        <v>0</v>
      </c>
      <c r="G17" s="3">
        <v>4</v>
      </c>
      <c r="H17" s="3">
        <f>+G17*$I$17</f>
        <v>40</v>
      </c>
      <c r="I17">
        <f>IF($F$1=0,20,10)</f>
        <v>10</v>
      </c>
      <c r="R17" s="1">
        <v>170</v>
      </c>
      <c r="S17" s="5">
        <f t="shared" si="0"/>
        <v>0.17</v>
      </c>
    </row>
    <row r="18" spans="2:19" x14ac:dyDescent="0.2">
      <c r="B18">
        <v>6</v>
      </c>
      <c r="C18">
        <v>0</v>
      </c>
      <c r="D18">
        <f t="shared" ref="D18:D26" si="3" xml:space="preserve"> IF(OR(B18=0, C18=0),0,IF(B18&gt;C18,0,1))</f>
        <v>0</v>
      </c>
      <c r="E18">
        <f t="shared" ref="E18:E26" si="4">IF(OR(B18=0, C18=0),0,IF(B18&lt;C18,0,1))</f>
        <v>0</v>
      </c>
      <c r="G18" s="3">
        <v>6</v>
      </c>
      <c r="H18" s="3">
        <f t="shared" ref="H18:H25" si="5">+G18*$I$17</f>
        <v>60</v>
      </c>
      <c r="R18" s="1">
        <v>180</v>
      </c>
      <c r="S18" s="5">
        <f t="shared" si="0"/>
        <v>0.18</v>
      </c>
    </row>
    <row r="19" spans="2:19" x14ac:dyDescent="0.2">
      <c r="B19">
        <v>1</v>
      </c>
      <c r="C19">
        <v>0</v>
      </c>
      <c r="D19">
        <f t="shared" si="3"/>
        <v>0</v>
      </c>
      <c r="E19">
        <f t="shared" si="4"/>
        <v>0</v>
      </c>
      <c r="G19" s="3">
        <v>1</v>
      </c>
      <c r="H19" s="3">
        <f t="shared" si="5"/>
        <v>10</v>
      </c>
      <c r="R19" s="1">
        <v>190</v>
      </c>
      <c r="S19" s="5">
        <f t="shared" si="0"/>
        <v>0.19</v>
      </c>
    </row>
    <row r="20" spans="2:19" x14ac:dyDescent="0.2">
      <c r="B20">
        <v>5</v>
      </c>
      <c r="C20">
        <v>0</v>
      </c>
      <c r="D20">
        <f t="shared" si="3"/>
        <v>0</v>
      </c>
      <c r="E20">
        <f t="shared" si="4"/>
        <v>0</v>
      </c>
      <c r="G20" s="3">
        <v>5</v>
      </c>
      <c r="H20" s="3">
        <f t="shared" si="5"/>
        <v>50</v>
      </c>
      <c r="R20" s="1">
        <v>200</v>
      </c>
      <c r="S20" s="5">
        <f t="shared" si="0"/>
        <v>0.2</v>
      </c>
    </row>
    <row r="21" spans="2:19" x14ac:dyDescent="0.2">
      <c r="B21">
        <v>2</v>
      </c>
      <c r="C21">
        <v>0</v>
      </c>
      <c r="D21">
        <f t="shared" si="3"/>
        <v>0</v>
      </c>
      <c r="E21">
        <f t="shared" si="4"/>
        <v>0</v>
      </c>
      <c r="G21" s="3">
        <v>2</v>
      </c>
      <c r="H21" s="3">
        <f t="shared" si="5"/>
        <v>20</v>
      </c>
      <c r="R21" s="1">
        <v>210</v>
      </c>
      <c r="S21" s="5">
        <f t="shared" si="0"/>
        <v>0.21</v>
      </c>
    </row>
    <row r="22" spans="2:19" x14ac:dyDescent="0.2">
      <c r="B22">
        <v>0</v>
      </c>
      <c r="C22">
        <v>0</v>
      </c>
      <c r="D22">
        <f t="shared" si="3"/>
        <v>0</v>
      </c>
      <c r="E22">
        <f t="shared" si="4"/>
        <v>0</v>
      </c>
      <c r="G22" s="3"/>
      <c r="H22" s="3">
        <f t="shared" si="5"/>
        <v>0</v>
      </c>
      <c r="R22" s="1">
        <v>220</v>
      </c>
      <c r="S22" s="5">
        <f t="shared" si="0"/>
        <v>0.22</v>
      </c>
    </row>
    <row r="23" spans="2:19" x14ac:dyDescent="0.2">
      <c r="B23">
        <v>0</v>
      </c>
      <c r="C23">
        <v>0</v>
      </c>
      <c r="D23">
        <f t="shared" si="3"/>
        <v>0</v>
      </c>
      <c r="E23">
        <f t="shared" si="4"/>
        <v>0</v>
      </c>
      <c r="G23" s="3"/>
      <c r="H23" s="3">
        <f t="shared" si="5"/>
        <v>0</v>
      </c>
      <c r="R23" s="1">
        <v>230</v>
      </c>
      <c r="S23" s="5">
        <f t="shared" si="0"/>
        <v>0.23</v>
      </c>
    </row>
    <row r="24" spans="2:19" x14ac:dyDescent="0.2">
      <c r="B24">
        <v>0</v>
      </c>
      <c r="C24">
        <v>0</v>
      </c>
      <c r="D24">
        <f t="shared" si="3"/>
        <v>0</v>
      </c>
      <c r="E24">
        <f t="shared" si="4"/>
        <v>0</v>
      </c>
      <c r="G24" s="3"/>
      <c r="H24" s="3">
        <f t="shared" si="5"/>
        <v>0</v>
      </c>
      <c r="R24" s="1">
        <v>240</v>
      </c>
      <c r="S24" s="5">
        <f t="shared" si="0"/>
        <v>0.24</v>
      </c>
    </row>
    <row r="25" spans="2:19" x14ac:dyDescent="0.2">
      <c r="B25">
        <v>0</v>
      </c>
      <c r="C25">
        <v>0</v>
      </c>
      <c r="D25">
        <f t="shared" si="3"/>
        <v>0</v>
      </c>
      <c r="E25">
        <f t="shared" si="4"/>
        <v>0</v>
      </c>
      <c r="G25" s="3"/>
      <c r="H25" s="3">
        <f t="shared" si="5"/>
        <v>0</v>
      </c>
      <c r="R25" s="1">
        <v>250</v>
      </c>
      <c r="S25" s="5">
        <f t="shared" si="0"/>
        <v>0.25</v>
      </c>
    </row>
    <row r="26" spans="2:19" x14ac:dyDescent="0.2">
      <c r="B26">
        <v>0</v>
      </c>
      <c r="C26">
        <v>0</v>
      </c>
      <c r="D26">
        <f t="shared" si="3"/>
        <v>0</v>
      </c>
      <c r="E26">
        <f t="shared" si="4"/>
        <v>0</v>
      </c>
      <c r="R26" s="1">
        <v>260</v>
      </c>
      <c r="S26" s="5">
        <f t="shared" si="0"/>
        <v>0.26</v>
      </c>
    </row>
    <row r="27" spans="2:19" x14ac:dyDescent="0.2">
      <c r="R27" s="1">
        <v>270</v>
      </c>
      <c r="S27" s="5">
        <f t="shared" si="0"/>
        <v>0.27</v>
      </c>
    </row>
    <row r="28" spans="2:19" x14ac:dyDescent="0.2">
      <c r="D28" s="2" t="s">
        <v>10</v>
      </c>
      <c r="E28" s="2"/>
      <c r="R28" s="1">
        <v>280</v>
      </c>
      <c r="S28" s="5">
        <f t="shared" si="0"/>
        <v>0.28000000000000003</v>
      </c>
    </row>
    <row r="29" spans="2:19" x14ac:dyDescent="0.2">
      <c r="D29">
        <f>SUM(D17:D26)*10</f>
        <v>0</v>
      </c>
      <c r="E29">
        <f>SUM(E17:E26)*10</f>
        <v>0</v>
      </c>
      <c r="R29" s="1">
        <v>290</v>
      </c>
      <c r="S29" s="5">
        <f t="shared" si="0"/>
        <v>0.28999999999999998</v>
      </c>
    </row>
    <row r="30" spans="2:19" x14ac:dyDescent="0.2">
      <c r="R30" s="1">
        <v>300</v>
      </c>
      <c r="S30" s="5">
        <f t="shared" si="0"/>
        <v>0.3</v>
      </c>
    </row>
    <row r="31" spans="2:19" x14ac:dyDescent="0.2">
      <c r="R31" s="1">
        <v>310</v>
      </c>
      <c r="S31" s="5">
        <f t="shared" si="0"/>
        <v>0.31</v>
      </c>
    </row>
    <row r="32" spans="2:19" x14ac:dyDescent="0.2">
      <c r="R32" s="1">
        <v>320</v>
      </c>
      <c r="S32" s="5">
        <f t="shared" si="0"/>
        <v>0.32</v>
      </c>
    </row>
    <row r="33" spans="18:19" x14ac:dyDescent="0.2">
      <c r="R33" s="1">
        <v>330</v>
      </c>
      <c r="S33" s="5">
        <f t="shared" si="0"/>
        <v>0.33</v>
      </c>
    </row>
    <row r="34" spans="18:19" x14ac:dyDescent="0.2">
      <c r="R34" s="1">
        <v>340</v>
      </c>
      <c r="S34" s="5">
        <f t="shared" si="0"/>
        <v>0.34</v>
      </c>
    </row>
    <row r="35" spans="18:19" x14ac:dyDescent="0.2">
      <c r="R35" s="1">
        <v>350</v>
      </c>
      <c r="S35" s="5">
        <f t="shared" si="0"/>
        <v>0.35</v>
      </c>
    </row>
    <row r="36" spans="18:19" x14ac:dyDescent="0.2">
      <c r="R36" s="1">
        <v>360</v>
      </c>
      <c r="S36" s="5">
        <f t="shared" si="0"/>
        <v>0.36</v>
      </c>
    </row>
    <row r="37" spans="18:19" x14ac:dyDescent="0.2">
      <c r="R37" s="1">
        <v>370</v>
      </c>
      <c r="S37" s="5">
        <f t="shared" si="0"/>
        <v>0.37</v>
      </c>
    </row>
    <row r="38" spans="18:19" x14ac:dyDescent="0.2">
      <c r="R38" s="1">
        <v>380</v>
      </c>
      <c r="S38" s="5">
        <f t="shared" si="0"/>
        <v>0.38</v>
      </c>
    </row>
    <row r="39" spans="18:19" x14ac:dyDescent="0.2">
      <c r="R39" s="1">
        <v>390</v>
      </c>
      <c r="S39" s="5">
        <f t="shared" si="0"/>
        <v>0.39</v>
      </c>
    </row>
    <row r="40" spans="18:19" x14ac:dyDescent="0.2">
      <c r="R40" s="1">
        <v>400</v>
      </c>
      <c r="S40" s="5">
        <f t="shared" si="0"/>
        <v>0.4</v>
      </c>
    </row>
    <row r="41" spans="18:19" x14ac:dyDescent="0.2">
      <c r="R41" s="1">
        <v>410</v>
      </c>
      <c r="S41" s="5">
        <f t="shared" si="0"/>
        <v>0.41</v>
      </c>
    </row>
    <row r="42" spans="18:19" x14ac:dyDescent="0.2">
      <c r="R42" s="1">
        <v>420</v>
      </c>
      <c r="S42" s="5">
        <f t="shared" si="0"/>
        <v>0.42</v>
      </c>
    </row>
    <row r="43" spans="18:19" x14ac:dyDescent="0.2">
      <c r="R43" s="1">
        <v>430</v>
      </c>
      <c r="S43" s="5">
        <f t="shared" si="0"/>
        <v>0.43</v>
      </c>
    </row>
    <row r="44" spans="18:19" x14ac:dyDescent="0.2">
      <c r="R44" s="1">
        <v>440</v>
      </c>
      <c r="S44" s="5">
        <f t="shared" si="0"/>
        <v>0.44</v>
      </c>
    </row>
    <row r="45" spans="18:19" x14ac:dyDescent="0.2">
      <c r="R45" s="1">
        <v>450</v>
      </c>
      <c r="S45" s="5">
        <f t="shared" si="0"/>
        <v>0.45</v>
      </c>
    </row>
    <row r="46" spans="18:19" x14ac:dyDescent="0.2">
      <c r="R46" s="1">
        <v>460</v>
      </c>
      <c r="S46" s="5">
        <f t="shared" si="0"/>
        <v>0.46</v>
      </c>
    </row>
    <row r="47" spans="18:19" x14ac:dyDescent="0.2">
      <c r="R47" s="1">
        <v>470</v>
      </c>
      <c r="S47" s="5">
        <f t="shared" si="0"/>
        <v>0.47</v>
      </c>
    </row>
    <row r="48" spans="18:19" x14ac:dyDescent="0.2">
      <c r="R48" s="1">
        <v>480</v>
      </c>
      <c r="S48" s="5">
        <f t="shared" si="0"/>
        <v>0.48</v>
      </c>
    </row>
    <row r="49" spans="18:19" x14ac:dyDescent="0.2">
      <c r="R49" s="1">
        <v>490</v>
      </c>
      <c r="S49" s="5">
        <f t="shared" si="0"/>
        <v>0.49</v>
      </c>
    </row>
    <row r="50" spans="18:19" x14ac:dyDescent="0.2">
      <c r="R50" s="1">
        <v>500</v>
      </c>
      <c r="S50" s="5">
        <f t="shared" si="0"/>
        <v>0.5</v>
      </c>
    </row>
    <row r="51" spans="18:19" x14ac:dyDescent="0.2">
      <c r="R51" s="1">
        <v>510</v>
      </c>
      <c r="S51" s="5">
        <f t="shared" si="0"/>
        <v>0.51</v>
      </c>
    </row>
    <row r="52" spans="18:19" x14ac:dyDescent="0.2">
      <c r="R52" s="1">
        <v>520</v>
      </c>
      <c r="S52" s="5">
        <f t="shared" si="0"/>
        <v>0.52</v>
      </c>
    </row>
    <row r="53" spans="18:19" x14ac:dyDescent="0.2">
      <c r="R53" s="1">
        <v>530</v>
      </c>
      <c r="S53" s="5">
        <f t="shared" si="0"/>
        <v>0.53</v>
      </c>
    </row>
    <row r="54" spans="18:19" x14ac:dyDescent="0.2">
      <c r="R54" s="1">
        <v>540</v>
      </c>
      <c r="S54" s="5">
        <f t="shared" si="0"/>
        <v>0.54</v>
      </c>
    </row>
    <row r="55" spans="18:19" x14ac:dyDescent="0.2">
      <c r="R55" s="1">
        <v>550</v>
      </c>
      <c r="S55" s="5">
        <f t="shared" si="0"/>
        <v>0.55000000000000004</v>
      </c>
    </row>
    <row r="56" spans="18:19" x14ac:dyDescent="0.2">
      <c r="R56" s="1">
        <v>560</v>
      </c>
      <c r="S56" s="5">
        <f t="shared" si="0"/>
        <v>0.56000000000000005</v>
      </c>
    </row>
    <row r="57" spans="18:19" x14ac:dyDescent="0.2">
      <c r="R57" s="1">
        <v>570</v>
      </c>
      <c r="S57" s="5">
        <f t="shared" si="0"/>
        <v>0.56999999999999995</v>
      </c>
    </row>
    <row r="58" spans="18:19" x14ac:dyDescent="0.2">
      <c r="R58" s="1">
        <v>580</v>
      </c>
      <c r="S58" s="5">
        <f t="shared" si="0"/>
        <v>0.57999999999999996</v>
      </c>
    </row>
    <row r="59" spans="18:19" x14ac:dyDescent="0.2">
      <c r="R59" s="1">
        <v>590</v>
      </c>
      <c r="S59" s="5">
        <f t="shared" si="0"/>
        <v>0.59</v>
      </c>
    </row>
    <row r="60" spans="18:19" x14ac:dyDescent="0.2">
      <c r="R60" s="1">
        <v>600</v>
      </c>
      <c r="S60" s="5">
        <f t="shared" si="0"/>
        <v>0.6</v>
      </c>
    </row>
    <row r="61" spans="18:19" x14ac:dyDescent="0.2">
      <c r="R61" s="1">
        <v>610</v>
      </c>
      <c r="S61" s="5">
        <f t="shared" si="0"/>
        <v>0.61</v>
      </c>
    </row>
    <row r="62" spans="18:19" x14ac:dyDescent="0.2">
      <c r="R62" s="1">
        <v>620</v>
      </c>
      <c r="S62" s="5">
        <f t="shared" si="0"/>
        <v>0.62</v>
      </c>
    </row>
    <row r="63" spans="18:19" x14ac:dyDescent="0.2">
      <c r="R63" s="1">
        <v>630</v>
      </c>
      <c r="S63" s="5">
        <f t="shared" si="0"/>
        <v>0.63</v>
      </c>
    </row>
    <row r="64" spans="18:19" x14ac:dyDescent="0.2">
      <c r="R64" s="1">
        <v>640</v>
      </c>
      <c r="S64" s="5">
        <f t="shared" si="0"/>
        <v>0.64</v>
      </c>
    </row>
    <row r="65" spans="18:19" x14ac:dyDescent="0.2">
      <c r="R65" s="1">
        <v>650</v>
      </c>
      <c r="S65" s="5">
        <f t="shared" si="0"/>
        <v>0.65</v>
      </c>
    </row>
    <row r="66" spans="18:19" x14ac:dyDescent="0.2">
      <c r="R66" s="1">
        <v>660</v>
      </c>
      <c r="S66" s="5">
        <f t="shared" ref="S66:S100" si="6">+R66/1000</f>
        <v>0.66</v>
      </c>
    </row>
    <row r="67" spans="18:19" x14ac:dyDescent="0.2">
      <c r="R67" s="1">
        <v>670</v>
      </c>
      <c r="S67" s="5">
        <f t="shared" si="6"/>
        <v>0.67</v>
      </c>
    </row>
    <row r="68" spans="18:19" x14ac:dyDescent="0.2">
      <c r="R68" s="1">
        <v>680</v>
      </c>
      <c r="S68" s="5">
        <f t="shared" si="6"/>
        <v>0.68</v>
      </c>
    </row>
    <row r="69" spans="18:19" x14ac:dyDescent="0.2">
      <c r="R69" s="1">
        <v>690</v>
      </c>
      <c r="S69" s="5">
        <f t="shared" si="6"/>
        <v>0.69</v>
      </c>
    </row>
    <row r="70" spans="18:19" x14ac:dyDescent="0.2">
      <c r="R70" s="1">
        <v>700</v>
      </c>
      <c r="S70" s="5">
        <f t="shared" si="6"/>
        <v>0.7</v>
      </c>
    </row>
    <row r="71" spans="18:19" x14ac:dyDescent="0.2">
      <c r="R71" s="1">
        <v>710</v>
      </c>
      <c r="S71" s="5">
        <f t="shared" si="6"/>
        <v>0.71</v>
      </c>
    </row>
    <row r="72" spans="18:19" x14ac:dyDescent="0.2">
      <c r="R72" s="1">
        <v>720</v>
      </c>
      <c r="S72" s="5">
        <f t="shared" si="6"/>
        <v>0.72</v>
      </c>
    </row>
    <row r="73" spans="18:19" x14ac:dyDescent="0.2">
      <c r="R73" s="1">
        <v>730</v>
      </c>
      <c r="S73" s="5">
        <f t="shared" si="6"/>
        <v>0.73</v>
      </c>
    </row>
    <row r="74" spans="18:19" x14ac:dyDescent="0.2">
      <c r="R74" s="1">
        <v>740</v>
      </c>
      <c r="S74" s="5">
        <f t="shared" si="6"/>
        <v>0.74</v>
      </c>
    </row>
    <row r="75" spans="18:19" x14ac:dyDescent="0.2">
      <c r="R75" s="1">
        <v>750</v>
      </c>
      <c r="S75" s="5">
        <f t="shared" si="6"/>
        <v>0.75</v>
      </c>
    </row>
    <row r="76" spans="18:19" x14ac:dyDescent="0.2">
      <c r="R76" s="1">
        <v>760</v>
      </c>
      <c r="S76" s="5">
        <f t="shared" si="6"/>
        <v>0.76</v>
      </c>
    </row>
    <row r="77" spans="18:19" x14ac:dyDescent="0.2">
      <c r="R77" s="1">
        <v>770</v>
      </c>
      <c r="S77" s="5">
        <f t="shared" si="6"/>
        <v>0.77</v>
      </c>
    </row>
    <row r="78" spans="18:19" x14ac:dyDescent="0.2">
      <c r="R78" s="1">
        <v>780</v>
      </c>
      <c r="S78" s="5">
        <f t="shared" si="6"/>
        <v>0.78</v>
      </c>
    </row>
    <row r="79" spans="18:19" x14ac:dyDescent="0.2">
      <c r="R79" s="1">
        <v>790</v>
      </c>
      <c r="S79" s="5">
        <f t="shared" si="6"/>
        <v>0.79</v>
      </c>
    </row>
    <row r="80" spans="18:19" x14ac:dyDescent="0.2">
      <c r="R80" s="1">
        <v>800</v>
      </c>
      <c r="S80" s="5">
        <f t="shared" si="6"/>
        <v>0.8</v>
      </c>
    </row>
    <row r="81" spans="18:19" x14ac:dyDescent="0.2">
      <c r="R81" s="1">
        <v>810</v>
      </c>
      <c r="S81" s="5">
        <f t="shared" si="6"/>
        <v>0.81</v>
      </c>
    </row>
    <row r="82" spans="18:19" x14ac:dyDescent="0.2">
      <c r="R82" s="1">
        <v>820</v>
      </c>
      <c r="S82" s="5">
        <f t="shared" si="6"/>
        <v>0.82</v>
      </c>
    </row>
    <row r="83" spans="18:19" x14ac:dyDescent="0.2">
      <c r="R83" s="1">
        <v>830</v>
      </c>
      <c r="S83" s="5">
        <f t="shared" si="6"/>
        <v>0.83</v>
      </c>
    </row>
    <row r="84" spans="18:19" x14ac:dyDescent="0.2">
      <c r="R84" s="1">
        <v>840</v>
      </c>
      <c r="S84" s="5">
        <f t="shared" si="6"/>
        <v>0.84</v>
      </c>
    </row>
    <row r="85" spans="18:19" x14ac:dyDescent="0.2">
      <c r="R85" s="1">
        <v>850</v>
      </c>
      <c r="S85" s="5">
        <f t="shared" si="6"/>
        <v>0.85</v>
      </c>
    </row>
    <row r="86" spans="18:19" x14ac:dyDescent="0.2">
      <c r="R86" s="1">
        <v>860</v>
      </c>
      <c r="S86" s="5">
        <f t="shared" si="6"/>
        <v>0.86</v>
      </c>
    </row>
    <row r="87" spans="18:19" x14ac:dyDescent="0.2">
      <c r="R87" s="1">
        <v>870</v>
      </c>
      <c r="S87" s="5">
        <f t="shared" si="6"/>
        <v>0.87</v>
      </c>
    </row>
    <row r="88" spans="18:19" x14ac:dyDescent="0.2">
      <c r="R88" s="1">
        <v>880</v>
      </c>
      <c r="S88" s="5">
        <f t="shared" si="6"/>
        <v>0.88</v>
      </c>
    </row>
    <row r="89" spans="18:19" x14ac:dyDescent="0.2">
      <c r="R89" s="1">
        <v>890</v>
      </c>
      <c r="S89" s="5">
        <f t="shared" si="6"/>
        <v>0.89</v>
      </c>
    </row>
    <row r="90" spans="18:19" x14ac:dyDescent="0.2">
      <c r="R90" s="1">
        <v>900</v>
      </c>
      <c r="S90" s="5">
        <f t="shared" si="6"/>
        <v>0.9</v>
      </c>
    </row>
    <row r="91" spans="18:19" x14ac:dyDescent="0.2">
      <c r="R91" s="1">
        <v>910</v>
      </c>
      <c r="S91" s="5">
        <f t="shared" si="6"/>
        <v>0.91</v>
      </c>
    </row>
    <row r="92" spans="18:19" x14ac:dyDescent="0.2">
      <c r="R92" s="1">
        <v>920</v>
      </c>
      <c r="S92" s="5">
        <f t="shared" si="6"/>
        <v>0.92</v>
      </c>
    </row>
    <row r="93" spans="18:19" x14ac:dyDescent="0.2">
      <c r="R93" s="1">
        <v>930</v>
      </c>
      <c r="S93" s="5">
        <f t="shared" si="6"/>
        <v>0.93</v>
      </c>
    </row>
    <row r="94" spans="18:19" x14ac:dyDescent="0.2">
      <c r="R94" s="1">
        <v>940</v>
      </c>
      <c r="S94" s="5">
        <f t="shared" si="6"/>
        <v>0.94</v>
      </c>
    </row>
    <row r="95" spans="18:19" x14ac:dyDescent="0.2">
      <c r="R95" s="1">
        <v>950</v>
      </c>
      <c r="S95" s="5">
        <f t="shared" si="6"/>
        <v>0.95</v>
      </c>
    </row>
    <row r="96" spans="18:19" x14ac:dyDescent="0.2">
      <c r="R96" s="1">
        <v>960</v>
      </c>
      <c r="S96" s="5">
        <f t="shared" si="6"/>
        <v>0.96</v>
      </c>
    </row>
    <row r="97" spans="18:19" x14ac:dyDescent="0.2">
      <c r="R97" s="1">
        <v>970</v>
      </c>
      <c r="S97" s="5">
        <f t="shared" si="6"/>
        <v>0.97</v>
      </c>
    </row>
    <row r="98" spans="18:19" x14ac:dyDescent="0.2">
      <c r="R98" s="1">
        <v>980</v>
      </c>
      <c r="S98" s="5">
        <f t="shared" si="6"/>
        <v>0.98</v>
      </c>
    </row>
    <row r="99" spans="18:19" x14ac:dyDescent="0.2">
      <c r="R99" s="1">
        <v>990</v>
      </c>
      <c r="S99" s="5">
        <f t="shared" si="6"/>
        <v>0.99</v>
      </c>
    </row>
    <row r="100" spans="18:19" x14ac:dyDescent="0.2">
      <c r="R100" s="1">
        <v>1000</v>
      </c>
      <c r="S100" s="5">
        <f t="shared" si="6"/>
        <v>1</v>
      </c>
    </row>
  </sheetData>
  <mergeCells count="1">
    <mergeCell ref="D28:E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D1D05-3D72-469F-BB26-8FD178ED6A39}">
  <dimension ref="A1:P29"/>
  <sheetViews>
    <sheetView tabSelected="1" workbookViewId="0">
      <selection activeCell="G6" sqref="G6"/>
    </sheetView>
  </sheetViews>
  <sheetFormatPr baseColWidth="10" defaultRowHeight="15" x14ac:dyDescent="0.2"/>
  <cols>
    <col min="10" max="10" width="15.21875" bestFit="1" customWidth="1"/>
    <col min="11" max="11" width="9.88671875" customWidth="1"/>
  </cols>
  <sheetData>
    <row r="1" spans="1:16" x14ac:dyDescent="0.2">
      <c r="A1" t="s">
        <v>0</v>
      </c>
      <c r="B1">
        <v>30</v>
      </c>
      <c r="E1" t="s">
        <v>1</v>
      </c>
      <c r="F1">
        <v>0</v>
      </c>
      <c r="I1" s="1" t="s">
        <v>7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8</v>
      </c>
      <c r="P1" s="1" t="s">
        <v>9</v>
      </c>
    </row>
    <row r="2" spans="1:16" x14ac:dyDescent="0.2">
      <c r="A2" t="s">
        <v>2</v>
      </c>
      <c r="B2">
        <f>(B1/10) + P2</f>
        <v>3</v>
      </c>
      <c r="E2" t="s">
        <v>2</v>
      </c>
      <c r="F2">
        <f>(F1/10) + P5</f>
        <v>0</v>
      </c>
      <c r="I2" s="1"/>
      <c r="J2" s="1">
        <f>1000-I2</f>
        <v>1000</v>
      </c>
      <c r="K2" s="1">
        <f>+P2*250</f>
        <v>0</v>
      </c>
      <c r="L2" s="1">
        <f>(B1-D29)*20</f>
        <v>600</v>
      </c>
      <c r="M2" s="1">
        <f>+K9</f>
        <v>500</v>
      </c>
      <c r="N2" s="1">
        <f>+SUM(J2:M2)</f>
        <v>2100</v>
      </c>
      <c r="P2">
        <v>0</v>
      </c>
    </row>
    <row r="3" spans="1:16" x14ac:dyDescent="0.2">
      <c r="A3">
        <v>1</v>
      </c>
      <c r="B3">
        <f ca="1">IF(B$2&gt;=A3,RANDBETWEEN(1,10),0)</f>
        <v>4</v>
      </c>
      <c r="E3">
        <v>1</v>
      </c>
      <c r="F3">
        <f ca="1">IF(F$2&gt;=E3,RANDBETWEEN(1,10),0)</f>
        <v>0</v>
      </c>
    </row>
    <row r="4" spans="1:16" x14ac:dyDescent="0.2">
      <c r="A4">
        <v>2</v>
      </c>
      <c r="B4">
        <f t="shared" ref="B4:B12" ca="1" si="0">IF(B$2&gt;=A4,RANDBETWEEN(1,10),0)</f>
        <v>10</v>
      </c>
      <c r="E4">
        <v>2</v>
      </c>
      <c r="F4">
        <f t="shared" ref="F4:F12" ca="1" si="1">IF(F$2&gt;=E4,RANDBETWEEN(1,10),0)</f>
        <v>0</v>
      </c>
      <c r="I4" s="1" t="s">
        <v>7</v>
      </c>
      <c r="J4" s="1" t="s">
        <v>3</v>
      </c>
      <c r="K4" s="1" t="s">
        <v>4</v>
      </c>
      <c r="L4" s="1" t="s">
        <v>5</v>
      </c>
      <c r="M4" s="1" t="s">
        <v>6</v>
      </c>
      <c r="N4" s="1" t="s">
        <v>8</v>
      </c>
    </row>
    <row r="5" spans="1:16" x14ac:dyDescent="0.2">
      <c r="A5">
        <v>3</v>
      </c>
      <c r="B5">
        <f t="shared" ca="1" si="0"/>
        <v>8</v>
      </c>
      <c r="E5">
        <v>3</v>
      </c>
      <c r="F5">
        <f t="shared" ca="1" si="1"/>
        <v>0</v>
      </c>
      <c r="I5" s="1">
        <f>+SUM(H17:H25)</f>
        <v>320</v>
      </c>
      <c r="J5" s="1">
        <f>+'Hoja1 (4)'!J5-'Hoja1 (5)'!I5</f>
        <v>440</v>
      </c>
      <c r="K5" s="1">
        <f>+P5*250</f>
        <v>0</v>
      </c>
      <c r="L5" s="1">
        <f>+(F1-E29)*20</f>
        <v>0</v>
      </c>
      <c r="M5" s="1">
        <f>+K10</f>
        <v>400</v>
      </c>
      <c r="N5" s="1">
        <f>+SUM(J5:M5)</f>
        <v>840</v>
      </c>
      <c r="P5">
        <v>0</v>
      </c>
    </row>
    <row r="6" spans="1:16" x14ac:dyDescent="0.2">
      <c r="A6">
        <v>4</v>
      </c>
      <c r="B6">
        <f t="shared" ca="1" si="0"/>
        <v>0</v>
      </c>
      <c r="E6">
        <v>4</v>
      </c>
      <c r="F6">
        <f t="shared" ca="1" si="1"/>
        <v>0</v>
      </c>
      <c r="J6" s="5">
        <f>1-(J5/1000+(K12*10)/(K12*10+K10))</f>
        <v>0.56000000000000005</v>
      </c>
      <c r="K6" s="5">
        <f>IF(J6&lt;0,0,J6)</f>
        <v>0.56000000000000005</v>
      </c>
    </row>
    <row r="7" spans="1:16" x14ac:dyDescent="0.2">
      <c r="A7">
        <v>5</v>
      </c>
      <c r="B7">
        <f t="shared" ca="1" si="0"/>
        <v>0</v>
      </c>
      <c r="E7">
        <v>5</v>
      </c>
      <c r="F7">
        <f t="shared" ca="1" si="1"/>
        <v>0</v>
      </c>
    </row>
    <row r="8" spans="1:16" x14ac:dyDescent="0.2">
      <c r="A8">
        <v>6</v>
      </c>
      <c r="B8">
        <f t="shared" ca="1" si="0"/>
        <v>0</v>
      </c>
      <c r="E8">
        <v>6</v>
      </c>
      <c r="F8">
        <f t="shared" ca="1" si="1"/>
        <v>0</v>
      </c>
    </row>
    <row r="9" spans="1:16" x14ac:dyDescent="0.2">
      <c r="A9">
        <v>7</v>
      </c>
      <c r="B9">
        <f t="shared" ca="1" si="0"/>
        <v>0</v>
      </c>
      <c r="E9">
        <v>7</v>
      </c>
      <c r="F9">
        <f t="shared" ca="1" si="1"/>
        <v>0</v>
      </c>
      <c r="J9" t="s">
        <v>11</v>
      </c>
      <c r="K9">
        <f>500-L9</f>
        <v>500</v>
      </c>
    </row>
    <row r="10" spans="1:16" x14ac:dyDescent="0.2">
      <c r="A10">
        <v>8</v>
      </c>
      <c r="B10">
        <f t="shared" ca="1" si="0"/>
        <v>0</v>
      </c>
      <c r="E10">
        <v>8</v>
      </c>
      <c r="F10">
        <f t="shared" ca="1" si="1"/>
        <v>0</v>
      </c>
      <c r="G10" t="str">
        <f ca="1">IF(F10=0,"",IF(F10&gt;K10,0,1))</f>
        <v/>
      </c>
      <c r="J10" t="s">
        <v>11</v>
      </c>
      <c r="K10">
        <f>700-L10</f>
        <v>400</v>
      </c>
      <c r="L10">
        <v>300</v>
      </c>
    </row>
    <row r="11" spans="1:16" x14ac:dyDescent="0.2">
      <c r="A11">
        <v>9</v>
      </c>
      <c r="B11">
        <f t="shared" ca="1" si="0"/>
        <v>0</v>
      </c>
      <c r="E11">
        <v>9</v>
      </c>
      <c r="F11">
        <f t="shared" ca="1" si="1"/>
        <v>0</v>
      </c>
      <c r="G11" t="str">
        <f ca="1">IF(F11=0,"",IF(F11&gt;K11,0,1))</f>
        <v/>
      </c>
    </row>
    <row r="12" spans="1:16" x14ac:dyDescent="0.2">
      <c r="A12">
        <v>10</v>
      </c>
      <c r="B12">
        <f t="shared" ca="1" si="0"/>
        <v>0</v>
      </c>
      <c r="E12">
        <v>10</v>
      </c>
      <c r="F12">
        <f t="shared" ca="1" si="1"/>
        <v>0</v>
      </c>
      <c r="G12" t="str">
        <f ca="1">IF(F12=0,"",IF(F12&gt;K12,0,1))</f>
        <v/>
      </c>
      <c r="J12" t="s">
        <v>12</v>
      </c>
      <c r="K12">
        <f>+F1</f>
        <v>0</v>
      </c>
    </row>
    <row r="17" spans="2:9" x14ac:dyDescent="0.2">
      <c r="B17">
        <v>2</v>
      </c>
      <c r="C17">
        <v>0</v>
      </c>
      <c r="D17">
        <f xml:space="preserve"> IF(OR(B17=0, C17=0),0,IF(B17&gt;C17,0,1))</f>
        <v>0</v>
      </c>
      <c r="E17">
        <f>IF(OR(B17=0, C17=0),0,IF(B17&lt;C17,0,1))</f>
        <v>0</v>
      </c>
      <c r="G17" s="3">
        <v>2</v>
      </c>
      <c r="H17" s="3">
        <f>+G17*$I$17</f>
        <v>40</v>
      </c>
      <c r="I17">
        <f>IF($F$1=0,20,10)</f>
        <v>20</v>
      </c>
    </row>
    <row r="18" spans="2:9" x14ac:dyDescent="0.2">
      <c r="B18">
        <v>5</v>
      </c>
      <c r="C18">
        <v>0</v>
      </c>
      <c r="D18">
        <f t="shared" ref="D18:D26" si="2" xml:space="preserve"> IF(OR(B18=0, C18=0),0,IF(B18&gt;C18,0,1))</f>
        <v>0</v>
      </c>
      <c r="E18">
        <f t="shared" ref="E18:E26" si="3">IF(OR(B18=0, C18=0),0,IF(B18&lt;C18,0,1))</f>
        <v>0</v>
      </c>
      <c r="G18" s="3">
        <v>5</v>
      </c>
      <c r="H18" s="3">
        <f t="shared" ref="H18:H25" si="4">+G18*$I$17</f>
        <v>100</v>
      </c>
    </row>
    <row r="19" spans="2:9" x14ac:dyDescent="0.2">
      <c r="B19">
        <v>9</v>
      </c>
      <c r="C19">
        <v>0</v>
      </c>
      <c r="D19">
        <f t="shared" si="2"/>
        <v>0</v>
      </c>
      <c r="E19">
        <f t="shared" si="3"/>
        <v>0</v>
      </c>
      <c r="G19" s="3">
        <v>9</v>
      </c>
      <c r="H19" s="3">
        <f t="shared" si="4"/>
        <v>180</v>
      </c>
    </row>
    <row r="20" spans="2:9" x14ac:dyDescent="0.2">
      <c r="B20">
        <v>0</v>
      </c>
      <c r="C20">
        <v>0</v>
      </c>
      <c r="D20">
        <f t="shared" si="2"/>
        <v>0</v>
      </c>
      <c r="E20">
        <f t="shared" si="3"/>
        <v>0</v>
      </c>
      <c r="G20" s="3"/>
      <c r="H20" s="3">
        <f t="shared" si="4"/>
        <v>0</v>
      </c>
    </row>
    <row r="21" spans="2:9" x14ac:dyDescent="0.2">
      <c r="B21">
        <v>0</v>
      </c>
      <c r="C21">
        <v>0</v>
      </c>
      <c r="D21">
        <f t="shared" si="2"/>
        <v>0</v>
      </c>
      <c r="E21">
        <f t="shared" si="3"/>
        <v>0</v>
      </c>
      <c r="G21" s="3"/>
      <c r="H21" s="3">
        <f t="shared" si="4"/>
        <v>0</v>
      </c>
    </row>
    <row r="22" spans="2:9" x14ac:dyDescent="0.2">
      <c r="B22">
        <v>0</v>
      </c>
      <c r="C22">
        <v>0</v>
      </c>
      <c r="D22">
        <f t="shared" si="2"/>
        <v>0</v>
      </c>
      <c r="E22">
        <f t="shared" si="3"/>
        <v>0</v>
      </c>
      <c r="G22" s="3"/>
      <c r="H22" s="3">
        <f t="shared" si="4"/>
        <v>0</v>
      </c>
    </row>
    <row r="23" spans="2:9" x14ac:dyDescent="0.2">
      <c r="B23">
        <v>0</v>
      </c>
      <c r="C23">
        <v>0</v>
      </c>
      <c r="D23">
        <f t="shared" si="2"/>
        <v>0</v>
      </c>
      <c r="E23">
        <f t="shared" si="3"/>
        <v>0</v>
      </c>
      <c r="G23" s="3"/>
      <c r="H23" s="3">
        <f t="shared" si="4"/>
        <v>0</v>
      </c>
    </row>
    <row r="24" spans="2:9" x14ac:dyDescent="0.2">
      <c r="B24">
        <v>0</v>
      </c>
      <c r="C24">
        <v>0</v>
      </c>
      <c r="D24">
        <f t="shared" si="2"/>
        <v>0</v>
      </c>
      <c r="E24">
        <f t="shared" si="3"/>
        <v>0</v>
      </c>
      <c r="G24" s="3"/>
      <c r="H24" s="3">
        <f t="shared" si="4"/>
        <v>0</v>
      </c>
    </row>
    <row r="25" spans="2:9" x14ac:dyDescent="0.2">
      <c r="B25">
        <v>0</v>
      </c>
      <c r="C25">
        <v>0</v>
      </c>
      <c r="D25">
        <f t="shared" si="2"/>
        <v>0</v>
      </c>
      <c r="E25">
        <f t="shared" si="3"/>
        <v>0</v>
      </c>
      <c r="G25" s="3"/>
      <c r="H25" s="3">
        <f t="shared" si="4"/>
        <v>0</v>
      </c>
    </row>
    <row r="26" spans="2:9" x14ac:dyDescent="0.2">
      <c r="B26">
        <v>0</v>
      </c>
      <c r="C26">
        <v>0</v>
      </c>
      <c r="D26">
        <f t="shared" si="2"/>
        <v>0</v>
      </c>
      <c r="E26">
        <f t="shared" si="3"/>
        <v>0</v>
      </c>
    </row>
    <row r="28" spans="2:9" x14ac:dyDescent="0.2">
      <c r="D28" s="2" t="s">
        <v>10</v>
      </c>
      <c r="E28" s="2"/>
    </row>
    <row r="29" spans="2:9" x14ac:dyDescent="0.2">
      <c r="D29">
        <f>SUM(D17:D26)*10</f>
        <v>0</v>
      </c>
      <c r="E29">
        <f>SUM(E17:E26)*10</f>
        <v>0</v>
      </c>
    </row>
  </sheetData>
  <mergeCells count="1">
    <mergeCell ref="D28:E2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92B2-86AE-4FEF-B528-3D8B0189B64E}">
  <dimension ref="A1:P29"/>
  <sheetViews>
    <sheetView topLeftCell="A7" workbookViewId="0">
      <selection activeCell="B16" sqref="B16"/>
    </sheetView>
  </sheetViews>
  <sheetFormatPr baseColWidth="10" defaultRowHeight="15" x14ac:dyDescent="0.2"/>
  <cols>
    <col min="10" max="10" width="15.21875" bestFit="1" customWidth="1"/>
    <col min="11" max="11" width="9.88671875" customWidth="1"/>
  </cols>
  <sheetData>
    <row r="1" spans="1:16" x14ac:dyDescent="0.2">
      <c r="A1" t="s">
        <v>0</v>
      </c>
      <c r="B1">
        <v>40</v>
      </c>
      <c r="E1" t="s">
        <v>1</v>
      </c>
      <c r="F1">
        <v>30</v>
      </c>
      <c r="I1" s="1" t="s">
        <v>7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8</v>
      </c>
      <c r="P1" s="1" t="s">
        <v>9</v>
      </c>
    </row>
    <row r="2" spans="1:16" x14ac:dyDescent="0.2">
      <c r="A2" t="s">
        <v>2</v>
      </c>
      <c r="B2">
        <f>(B1/10) + P2</f>
        <v>4</v>
      </c>
      <c r="E2" t="s">
        <v>2</v>
      </c>
      <c r="F2">
        <f>(F1/10) + P5</f>
        <v>3</v>
      </c>
      <c r="I2" s="1"/>
      <c r="J2" s="1">
        <f>1000-I2</f>
        <v>1000</v>
      </c>
      <c r="K2" s="1">
        <f>+P2*250</f>
        <v>0</v>
      </c>
      <c r="L2" s="1">
        <f>(B1-D29)*20</f>
        <v>600</v>
      </c>
      <c r="M2" s="1">
        <f>+K9</f>
        <v>500</v>
      </c>
      <c r="N2" s="1">
        <f>+SUM(J2:M2)</f>
        <v>2100</v>
      </c>
      <c r="P2">
        <v>0</v>
      </c>
    </row>
    <row r="3" spans="1:16" x14ac:dyDescent="0.2">
      <c r="A3">
        <v>1</v>
      </c>
      <c r="B3" s="8">
        <f ca="1">IF(B$2&gt;=A3,RANDBETWEEN(1,10),0)</f>
        <v>5</v>
      </c>
      <c r="E3">
        <v>1</v>
      </c>
      <c r="F3" s="8">
        <f ca="1">IF(F$2&gt;=E3,RANDBETWEEN(1,10),0)</f>
        <v>1</v>
      </c>
    </row>
    <row r="4" spans="1:16" x14ac:dyDescent="0.2">
      <c r="A4">
        <v>2</v>
      </c>
      <c r="B4" s="8">
        <f t="shared" ref="B4:B12" ca="1" si="0">IF(B$2&gt;=A4,RANDBETWEEN(1,10),0)</f>
        <v>6</v>
      </c>
      <c r="E4">
        <v>2</v>
      </c>
      <c r="F4" s="8">
        <f t="shared" ref="F4:F12" ca="1" si="1">IF(F$2&gt;=E4,RANDBETWEEN(1,10),0)</f>
        <v>7</v>
      </c>
      <c r="I4" s="1" t="s">
        <v>7</v>
      </c>
      <c r="J4" s="1" t="s">
        <v>3</v>
      </c>
      <c r="K4" s="1" t="s">
        <v>4</v>
      </c>
      <c r="L4" s="1" t="s">
        <v>5</v>
      </c>
      <c r="M4" s="1" t="s">
        <v>6</v>
      </c>
      <c r="N4" s="1" t="s">
        <v>8</v>
      </c>
    </row>
    <row r="5" spans="1:16" x14ac:dyDescent="0.2">
      <c r="A5">
        <v>3</v>
      </c>
      <c r="B5" s="8">
        <f t="shared" ca="1" si="0"/>
        <v>4</v>
      </c>
      <c r="E5">
        <v>3</v>
      </c>
      <c r="F5" s="8">
        <f t="shared" ca="1" si="1"/>
        <v>2</v>
      </c>
      <c r="I5" s="1">
        <f>+SUM(H17:H25)</f>
        <v>10</v>
      </c>
      <c r="J5" s="1">
        <f>+'Hoja1 (3)'!J5-'Hoja1 (4)'!I5</f>
        <v>760</v>
      </c>
      <c r="K5" s="1">
        <f>+P5*250</f>
        <v>0</v>
      </c>
      <c r="L5" s="1">
        <f>+(F1-E29)*20</f>
        <v>0</v>
      </c>
      <c r="M5" s="1">
        <f>+K10</f>
        <v>400</v>
      </c>
      <c r="N5" s="1">
        <f>+SUM(J5:M5)</f>
        <v>1160</v>
      </c>
      <c r="P5">
        <v>0</v>
      </c>
    </row>
    <row r="6" spans="1:16" x14ac:dyDescent="0.2">
      <c r="A6">
        <v>4</v>
      </c>
      <c r="B6" s="8">
        <f t="shared" ca="1" si="0"/>
        <v>1</v>
      </c>
      <c r="E6">
        <v>4</v>
      </c>
      <c r="F6">
        <f t="shared" ca="1" si="1"/>
        <v>0</v>
      </c>
      <c r="J6" s="5">
        <f>1-(J5/1000)</f>
        <v>0.24</v>
      </c>
      <c r="K6" s="5">
        <f>IF(J6&lt;0,0,J6)</f>
        <v>0.24</v>
      </c>
    </row>
    <row r="7" spans="1:16" x14ac:dyDescent="0.2">
      <c r="A7">
        <v>5</v>
      </c>
      <c r="B7">
        <f t="shared" ca="1" si="0"/>
        <v>0</v>
      </c>
      <c r="E7">
        <v>5</v>
      </c>
      <c r="F7">
        <f t="shared" ca="1" si="1"/>
        <v>0</v>
      </c>
    </row>
    <row r="8" spans="1:16" x14ac:dyDescent="0.2">
      <c r="A8">
        <v>6</v>
      </c>
      <c r="B8">
        <f t="shared" ca="1" si="0"/>
        <v>0</v>
      </c>
      <c r="E8">
        <v>6</v>
      </c>
      <c r="F8">
        <f t="shared" ca="1" si="1"/>
        <v>0</v>
      </c>
    </row>
    <row r="9" spans="1:16" x14ac:dyDescent="0.2">
      <c r="A9">
        <v>7</v>
      </c>
      <c r="B9">
        <f t="shared" ca="1" si="0"/>
        <v>0</v>
      </c>
      <c r="E9">
        <v>7</v>
      </c>
      <c r="F9">
        <f t="shared" ca="1" si="1"/>
        <v>0</v>
      </c>
      <c r="J9" t="s">
        <v>11</v>
      </c>
      <c r="K9">
        <f>500-L9</f>
        <v>500</v>
      </c>
    </row>
    <row r="10" spans="1:16" x14ac:dyDescent="0.2">
      <c r="A10">
        <v>8</v>
      </c>
      <c r="B10">
        <f t="shared" ca="1" si="0"/>
        <v>0</v>
      </c>
      <c r="E10">
        <v>8</v>
      </c>
      <c r="F10">
        <f t="shared" ca="1" si="1"/>
        <v>0</v>
      </c>
      <c r="G10" t="str">
        <f ca="1">IF(F10=0,"",IF(F10&gt;K10,0,1))</f>
        <v/>
      </c>
      <c r="J10" t="s">
        <v>11</v>
      </c>
      <c r="K10">
        <f>700-L10</f>
        <v>400</v>
      </c>
      <c r="L10">
        <v>300</v>
      </c>
    </row>
    <row r="11" spans="1:16" x14ac:dyDescent="0.2">
      <c r="A11">
        <v>9</v>
      </c>
      <c r="B11">
        <f t="shared" ca="1" si="0"/>
        <v>0</v>
      </c>
      <c r="E11">
        <v>9</v>
      </c>
      <c r="F11">
        <f t="shared" ca="1" si="1"/>
        <v>0</v>
      </c>
      <c r="G11" t="str">
        <f ca="1">IF(F11=0,"",IF(F11&gt;K11,0,1))</f>
        <v/>
      </c>
    </row>
    <row r="12" spans="1:16" x14ac:dyDescent="0.2">
      <c r="A12">
        <v>10</v>
      </c>
      <c r="B12">
        <f t="shared" ca="1" si="0"/>
        <v>0</v>
      </c>
      <c r="E12">
        <v>10</v>
      </c>
      <c r="F12">
        <f t="shared" ca="1" si="1"/>
        <v>0</v>
      </c>
      <c r="G12" t="str">
        <f ca="1">IF(F12=0,"",IF(F12&gt;K12,0,1))</f>
        <v/>
      </c>
      <c r="J12" t="s">
        <v>12</v>
      </c>
      <c r="K12">
        <f>+F1</f>
        <v>30</v>
      </c>
    </row>
    <row r="17" spans="2:8" x14ac:dyDescent="0.2">
      <c r="B17">
        <v>9</v>
      </c>
      <c r="C17">
        <v>9</v>
      </c>
      <c r="D17">
        <f xml:space="preserve"> IF(OR(B17=0, C17=0),0,IF(B17&gt;C17,0,1))</f>
        <v>1</v>
      </c>
      <c r="E17">
        <f>IF(OR(B17=0, C17=0),0,IF(B17&lt;C17,0,1))</f>
        <v>1</v>
      </c>
      <c r="G17" s="3">
        <v>1</v>
      </c>
      <c r="H17" s="3">
        <f>+G17*10</f>
        <v>10</v>
      </c>
    </row>
    <row r="18" spans="2:8" x14ac:dyDescent="0.2">
      <c r="B18">
        <v>9</v>
      </c>
      <c r="C18">
        <v>7</v>
      </c>
      <c r="D18">
        <f t="shared" ref="D18:D26" si="2" xml:space="preserve"> IF(OR(B18=0, C18=0),0,IF(B18&gt;C18,0,1))</f>
        <v>0</v>
      </c>
      <c r="E18">
        <f t="shared" ref="E18:E26" si="3">IF(OR(B18=0, C18=0),0,IF(B18&lt;C18,0,1))</f>
        <v>1</v>
      </c>
      <c r="G18" s="3"/>
      <c r="H18" s="3">
        <f t="shared" ref="H18:H25" si="4">+G18*10</f>
        <v>0</v>
      </c>
    </row>
    <row r="19" spans="2:8" x14ac:dyDescent="0.2">
      <c r="B19">
        <v>7</v>
      </c>
      <c r="C19">
        <v>3</v>
      </c>
      <c r="D19">
        <f t="shared" si="2"/>
        <v>0</v>
      </c>
      <c r="E19">
        <f t="shared" si="3"/>
        <v>1</v>
      </c>
      <c r="G19" s="3"/>
      <c r="H19" s="3">
        <f t="shared" si="4"/>
        <v>0</v>
      </c>
    </row>
    <row r="20" spans="2:8" x14ac:dyDescent="0.2">
      <c r="B20">
        <v>1</v>
      </c>
      <c r="C20">
        <v>0</v>
      </c>
      <c r="D20">
        <f t="shared" si="2"/>
        <v>0</v>
      </c>
      <c r="E20">
        <f t="shared" si="3"/>
        <v>0</v>
      </c>
      <c r="G20" s="3"/>
      <c r="H20" s="3">
        <f t="shared" si="4"/>
        <v>0</v>
      </c>
    </row>
    <row r="21" spans="2:8" x14ac:dyDescent="0.2">
      <c r="B21">
        <v>0</v>
      </c>
      <c r="C21">
        <v>0</v>
      </c>
      <c r="D21">
        <f t="shared" si="2"/>
        <v>0</v>
      </c>
      <c r="E21">
        <f t="shared" si="3"/>
        <v>0</v>
      </c>
      <c r="G21" s="3"/>
      <c r="H21" s="3">
        <f t="shared" si="4"/>
        <v>0</v>
      </c>
    </row>
    <row r="22" spans="2:8" x14ac:dyDescent="0.2">
      <c r="B22">
        <v>0</v>
      </c>
      <c r="C22">
        <v>0</v>
      </c>
      <c r="D22">
        <f t="shared" si="2"/>
        <v>0</v>
      </c>
      <c r="E22">
        <f t="shared" si="3"/>
        <v>0</v>
      </c>
      <c r="G22" s="3"/>
      <c r="H22" s="3">
        <f t="shared" si="4"/>
        <v>0</v>
      </c>
    </row>
    <row r="23" spans="2:8" x14ac:dyDescent="0.2">
      <c r="B23">
        <v>0</v>
      </c>
      <c r="C23">
        <v>0</v>
      </c>
      <c r="D23">
        <f t="shared" si="2"/>
        <v>0</v>
      </c>
      <c r="E23">
        <f t="shared" si="3"/>
        <v>0</v>
      </c>
      <c r="G23" s="3"/>
      <c r="H23" s="3">
        <f t="shared" si="4"/>
        <v>0</v>
      </c>
    </row>
    <row r="24" spans="2:8" x14ac:dyDescent="0.2">
      <c r="B24">
        <v>0</v>
      </c>
      <c r="C24">
        <v>0</v>
      </c>
      <c r="D24">
        <f t="shared" si="2"/>
        <v>0</v>
      </c>
      <c r="E24">
        <f t="shared" si="3"/>
        <v>0</v>
      </c>
      <c r="G24" s="3"/>
      <c r="H24" s="3">
        <f t="shared" si="4"/>
        <v>0</v>
      </c>
    </row>
    <row r="25" spans="2:8" x14ac:dyDescent="0.2">
      <c r="B25">
        <v>0</v>
      </c>
      <c r="C25">
        <v>0</v>
      </c>
      <c r="D25">
        <f t="shared" si="2"/>
        <v>0</v>
      </c>
      <c r="E25">
        <f t="shared" si="3"/>
        <v>0</v>
      </c>
      <c r="G25" s="3"/>
      <c r="H25" s="3">
        <f t="shared" si="4"/>
        <v>0</v>
      </c>
    </row>
    <row r="26" spans="2:8" x14ac:dyDescent="0.2">
      <c r="B26">
        <v>0</v>
      </c>
      <c r="C26">
        <v>0</v>
      </c>
      <c r="D26">
        <f t="shared" si="2"/>
        <v>0</v>
      </c>
      <c r="E26">
        <f t="shared" si="3"/>
        <v>0</v>
      </c>
    </row>
    <row r="28" spans="2:8" x14ac:dyDescent="0.2">
      <c r="D28" s="2" t="s">
        <v>10</v>
      </c>
      <c r="E28" s="2"/>
    </row>
    <row r="29" spans="2:8" x14ac:dyDescent="0.2">
      <c r="D29">
        <f>SUM(D17:D26)*10</f>
        <v>10</v>
      </c>
      <c r="E29">
        <f>SUM(E17:E26)*10</f>
        <v>30</v>
      </c>
    </row>
  </sheetData>
  <mergeCells count="1">
    <mergeCell ref="D28:E2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3C909-DAAD-408B-9E1C-1B369DDD1B0A}">
  <dimension ref="A1:P29"/>
  <sheetViews>
    <sheetView workbookViewId="0">
      <selection activeCell="C37" sqref="C37"/>
    </sheetView>
  </sheetViews>
  <sheetFormatPr baseColWidth="10" defaultRowHeight="15" x14ac:dyDescent="0.2"/>
  <cols>
    <col min="10" max="10" width="15.21875" bestFit="1" customWidth="1"/>
    <col min="11" max="11" width="9.88671875" customWidth="1"/>
  </cols>
  <sheetData>
    <row r="1" spans="1:16" x14ac:dyDescent="0.2">
      <c r="A1" t="s">
        <v>0</v>
      </c>
      <c r="B1">
        <v>40</v>
      </c>
      <c r="E1" t="s">
        <v>1</v>
      </c>
      <c r="F1">
        <v>10</v>
      </c>
      <c r="I1" s="1" t="s">
        <v>7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8</v>
      </c>
      <c r="P1" s="1" t="s">
        <v>9</v>
      </c>
    </row>
    <row r="2" spans="1:16" x14ac:dyDescent="0.2">
      <c r="A2" t="s">
        <v>2</v>
      </c>
      <c r="B2">
        <f>(B1/10) + P2</f>
        <v>4</v>
      </c>
      <c r="E2" t="s">
        <v>2</v>
      </c>
      <c r="F2">
        <f>(F1/10) + P5</f>
        <v>1</v>
      </c>
      <c r="I2" s="1"/>
      <c r="J2" s="1">
        <f>1000-I2</f>
        <v>1000</v>
      </c>
      <c r="K2" s="1">
        <f>+P2*250</f>
        <v>0</v>
      </c>
      <c r="L2" s="1">
        <f>(B1-D29)*20</f>
        <v>800</v>
      </c>
      <c r="M2" s="1">
        <f>+K9</f>
        <v>500</v>
      </c>
      <c r="N2" s="1">
        <f>+SUM(J2:M2)</f>
        <v>2300</v>
      </c>
      <c r="P2">
        <v>0</v>
      </c>
    </row>
    <row r="3" spans="1:16" x14ac:dyDescent="0.2">
      <c r="A3">
        <v>1</v>
      </c>
      <c r="B3">
        <f ca="1">IF(B$2&gt;=A3,RANDBETWEEN(1,10),0)</f>
        <v>7</v>
      </c>
      <c r="E3">
        <v>1</v>
      </c>
      <c r="F3">
        <f ca="1">IF(F$2&gt;=E3,RANDBETWEEN(1,10),0)</f>
        <v>4</v>
      </c>
    </row>
    <row r="4" spans="1:16" x14ac:dyDescent="0.2">
      <c r="A4">
        <v>2</v>
      </c>
      <c r="B4">
        <f t="shared" ref="B4:B12" ca="1" si="0">IF(B$2&gt;=A4,RANDBETWEEN(1,10),0)</f>
        <v>7</v>
      </c>
      <c r="E4">
        <v>2</v>
      </c>
      <c r="F4">
        <f t="shared" ref="F4:F12" ca="1" si="1">IF(F$2&gt;=E4,RANDBETWEEN(1,10),0)</f>
        <v>0</v>
      </c>
      <c r="I4" s="1" t="s">
        <v>7</v>
      </c>
      <c r="J4" s="1" t="s">
        <v>3</v>
      </c>
      <c r="K4" s="1" t="s">
        <v>4</v>
      </c>
      <c r="L4" s="1" t="s">
        <v>5</v>
      </c>
      <c r="M4" s="1" t="s">
        <v>6</v>
      </c>
      <c r="N4" s="1" t="s">
        <v>8</v>
      </c>
    </row>
    <row r="5" spans="1:16" x14ac:dyDescent="0.2">
      <c r="A5">
        <v>3</v>
      </c>
      <c r="B5">
        <f t="shared" ca="1" si="0"/>
        <v>5</v>
      </c>
      <c r="E5">
        <v>3</v>
      </c>
      <c r="F5">
        <f t="shared" ca="1" si="1"/>
        <v>0</v>
      </c>
      <c r="I5" s="1">
        <f>+SUM(H17:H25)</f>
        <v>230</v>
      </c>
      <c r="J5" s="1">
        <f>+'Hoja1 (2)'!J5-'Hoja1 (3)'!I5</f>
        <v>770</v>
      </c>
      <c r="K5" s="1">
        <f>+P5*250</f>
        <v>0</v>
      </c>
      <c r="L5" s="1">
        <f>+(F1-E29)*20</f>
        <v>0</v>
      </c>
      <c r="M5" s="1">
        <f>+K10</f>
        <v>700</v>
      </c>
      <c r="N5" s="1">
        <f>+SUM(J5:M5)</f>
        <v>1470</v>
      </c>
      <c r="P5">
        <v>0</v>
      </c>
    </row>
    <row r="6" spans="1:16" x14ac:dyDescent="0.2">
      <c r="A6">
        <v>4</v>
      </c>
      <c r="B6">
        <f t="shared" ca="1" si="0"/>
        <v>8</v>
      </c>
      <c r="E6">
        <v>4</v>
      </c>
      <c r="F6">
        <f t="shared" ca="1" si="1"/>
        <v>0</v>
      </c>
      <c r="J6" s="5">
        <f>1-(J5/1000+(K12*10)/(K12*10+K10))</f>
        <v>0.10499999999999998</v>
      </c>
      <c r="K6" s="5">
        <f>IF(J6&lt;0,0,J6)</f>
        <v>0.10499999999999998</v>
      </c>
    </row>
    <row r="7" spans="1:16" x14ac:dyDescent="0.2">
      <c r="A7">
        <v>5</v>
      </c>
      <c r="B7">
        <f t="shared" ca="1" si="0"/>
        <v>0</v>
      </c>
      <c r="E7">
        <v>5</v>
      </c>
      <c r="F7">
        <f t="shared" ca="1" si="1"/>
        <v>0</v>
      </c>
    </row>
    <row r="8" spans="1:16" x14ac:dyDescent="0.2">
      <c r="A8">
        <v>6</v>
      </c>
      <c r="B8">
        <f t="shared" ca="1" si="0"/>
        <v>0</v>
      </c>
      <c r="E8">
        <v>6</v>
      </c>
      <c r="F8">
        <f t="shared" ca="1" si="1"/>
        <v>0</v>
      </c>
    </row>
    <row r="9" spans="1:16" x14ac:dyDescent="0.2">
      <c r="A9">
        <v>7</v>
      </c>
      <c r="B9">
        <f t="shared" ca="1" si="0"/>
        <v>0</v>
      </c>
      <c r="E9">
        <v>7</v>
      </c>
      <c r="F9">
        <f t="shared" ca="1" si="1"/>
        <v>0</v>
      </c>
      <c r="J9" t="s">
        <v>11</v>
      </c>
      <c r="K9">
        <f>500-L9</f>
        <v>500</v>
      </c>
    </row>
    <row r="10" spans="1:16" x14ac:dyDescent="0.2">
      <c r="A10">
        <v>8</v>
      </c>
      <c r="B10">
        <f t="shared" ca="1" si="0"/>
        <v>0</v>
      </c>
      <c r="E10">
        <v>8</v>
      </c>
      <c r="F10">
        <f t="shared" ca="1" si="1"/>
        <v>0</v>
      </c>
      <c r="G10" t="str">
        <f ca="1">IF(F10=0,"",IF(F10&gt;K10,0,1))</f>
        <v/>
      </c>
      <c r="J10" t="s">
        <v>11</v>
      </c>
      <c r="K10">
        <f>700-L10</f>
        <v>700</v>
      </c>
    </row>
    <row r="11" spans="1:16" x14ac:dyDescent="0.2">
      <c r="A11">
        <v>9</v>
      </c>
      <c r="B11">
        <f t="shared" ca="1" si="0"/>
        <v>0</v>
      </c>
      <c r="E11">
        <v>9</v>
      </c>
      <c r="F11">
        <f t="shared" ca="1" si="1"/>
        <v>0</v>
      </c>
      <c r="G11" t="str">
        <f ca="1">IF(F11=0,"",IF(F11&gt;K11,0,1))</f>
        <v/>
      </c>
    </row>
    <row r="12" spans="1:16" x14ac:dyDescent="0.2">
      <c r="A12">
        <v>10</v>
      </c>
      <c r="B12">
        <f t="shared" ca="1" si="0"/>
        <v>0</v>
      </c>
      <c r="E12">
        <v>10</v>
      </c>
      <c r="F12">
        <f t="shared" ca="1" si="1"/>
        <v>0</v>
      </c>
      <c r="G12" t="str">
        <f ca="1">IF(F12=0,"",IF(F12&gt;K12,0,1))</f>
        <v/>
      </c>
      <c r="J12" t="s">
        <v>12</v>
      </c>
      <c r="K12">
        <f>+F1</f>
        <v>10</v>
      </c>
    </row>
    <row r="17" spans="2:8" x14ac:dyDescent="0.2">
      <c r="B17">
        <v>9</v>
      </c>
      <c r="C17">
        <v>1</v>
      </c>
      <c r="D17">
        <f xml:space="preserve"> IF(OR(B17=0, C17=0),0,IF(B17&gt;C17,0,1))</f>
        <v>0</v>
      </c>
      <c r="E17">
        <f>IF(OR(B17=0, C17=0),0,IF(B17&lt;C17,0,1))</f>
        <v>1</v>
      </c>
      <c r="G17" s="3">
        <v>8</v>
      </c>
      <c r="H17" s="3">
        <f>+G17*10</f>
        <v>80</v>
      </c>
    </row>
    <row r="18" spans="2:8" x14ac:dyDescent="0.2">
      <c r="B18">
        <v>8</v>
      </c>
      <c r="C18">
        <v>0</v>
      </c>
      <c r="D18">
        <f t="shared" ref="D18:D26" si="2" xml:space="preserve"> IF(OR(B18=0, C18=0),0,IF(B18&gt;C18,0,1))</f>
        <v>0</v>
      </c>
      <c r="E18">
        <f t="shared" ref="E18:E26" si="3">IF(OR(B18=0, C18=0),0,IF(B18&lt;C18,0,1))</f>
        <v>0</v>
      </c>
      <c r="G18" s="3">
        <v>8</v>
      </c>
      <c r="H18" s="3">
        <f t="shared" ref="H18:H25" si="4">+G18*10</f>
        <v>80</v>
      </c>
    </row>
    <row r="19" spans="2:8" x14ac:dyDescent="0.2">
      <c r="B19">
        <v>8</v>
      </c>
      <c r="C19">
        <v>0</v>
      </c>
      <c r="D19">
        <f t="shared" si="2"/>
        <v>0</v>
      </c>
      <c r="E19">
        <f t="shared" si="3"/>
        <v>0</v>
      </c>
      <c r="G19" s="3">
        <v>7</v>
      </c>
      <c r="H19" s="3">
        <f t="shared" si="4"/>
        <v>70</v>
      </c>
    </row>
    <row r="20" spans="2:8" x14ac:dyDescent="0.2">
      <c r="B20">
        <v>7</v>
      </c>
      <c r="C20">
        <v>0</v>
      </c>
      <c r="D20">
        <f t="shared" si="2"/>
        <v>0</v>
      </c>
      <c r="E20">
        <f t="shared" si="3"/>
        <v>0</v>
      </c>
      <c r="G20" s="3"/>
      <c r="H20" s="3">
        <f t="shared" si="4"/>
        <v>0</v>
      </c>
    </row>
    <row r="21" spans="2:8" x14ac:dyDescent="0.2">
      <c r="B21">
        <v>0</v>
      </c>
      <c r="C21">
        <v>0</v>
      </c>
      <c r="D21">
        <f t="shared" si="2"/>
        <v>0</v>
      </c>
      <c r="E21">
        <f t="shared" si="3"/>
        <v>0</v>
      </c>
      <c r="G21" s="3"/>
      <c r="H21" s="3">
        <f t="shared" si="4"/>
        <v>0</v>
      </c>
    </row>
    <row r="22" spans="2:8" x14ac:dyDescent="0.2">
      <c r="B22">
        <v>0</v>
      </c>
      <c r="C22">
        <v>0</v>
      </c>
      <c r="D22">
        <f t="shared" si="2"/>
        <v>0</v>
      </c>
      <c r="E22">
        <f t="shared" si="3"/>
        <v>0</v>
      </c>
      <c r="G22" s="3"/>
      <c r="H22" s="3">
        <f t="shared" si="4"/>
        <v>0</v>
      </c>
    </row>
    <row r="23" spans="2:8" x14ac:dyDescent="0.2">
      <c r="B23">
        <v>0</v>
      </c>
      <c r="C23">
        <v>0</v>
      </c>
      <c r="D23">
        <f t="shared" si="2"/>
        <v>0</v>
      </c>
      <c r="E23">
        <f t="shared" si="3"/>
        <v>0</v>
      </c>
      <c r="G23" s="3"/>
      <c r="H23" s="3">
        <f t="shared" si="4"/>
        <v>0</v>
      </c>
    </row>
    <row r="24" spans="2:8" x14ac:dyDescent="0.2">
      <c r="B24">
        <v>0</v>
      </c>
      <c r="C24">
        <v>0</v>
      </c>
      <c r="D24">
        <f t="shared" si="2"/>
        <v>0</v>
      </c>
      <c r="E24">
        <f t="shared" si="3"/>
        <v>0</v>
      </c>
      <c r="G24" s="3"/>
      <c r="H24" s="3">
        <f t="shared" si="4"/>
        <v>0</v>
      </c>
    </row>
    <row r="25" spans="2:8" x14ac:dyDescent="0.2">
      <c r="B25">
        <v>0</v>
      </c>
      <c r="C25">
        <v>0</v>
      </c>
      <c r="D25">
        <f t="shared" si="2"/>
        <v>0</v>
      </c>
      <c r="E25">
        <f t="shared" si="3"/>
        <v>0</v>
      </c>
      <c r="G25" s="3"/>
      <c r="H25" s="3">
        <f t="shared" si="4"/>
        <v>0</v>
      </c>
    </row>
    <row r="26" spans="2:8" x14ac:dyDescent="0.2">
      <c r="B26">
        <v>0</v>
      </c>
      <c r="C26">
        <v>0</v>
      </c>
      <c r="D26">
        <f t="shared" si="2"/>
        <v>0</v>
      </c>
      <c r="E26">
        <f t="shared" si="3"/>
        <v>0</v>
      </c>
    </row>
    <row r="28" spans="2:8" x14ac:dyDescent="0.2">
      <c r="D28" s="2" t="s">
        <v>10</v>
      </c>
      <c r="E28" s="2"/>
    </row>
    <row r="29" spans="2:8" x14ac:dyDescent="0.2">
      <c r="D29">
        <f>SUM(D17:D26)*10</f>
        <v>0</v>
      </c>
      <c r="E29">
        <f>SUM(E17:E26)*10</f>
        <v>10</v>
      </c>
    </row>
  </sheetData>
  <sortState xmlns:xlrd2="http://schemas.microsoft.com/office/spreadsheetml/2017/richdata2" ref="B17:B26">
    <sortCondition descending="1" ref="B17:B26"/>
  </sortState>
  <mergeCells count="1">
    <mergeCell ref="D28:E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9E6FD-2F53-4285-B4A9-F7749D95BC10}">
  <dimension ref="A1:P29"/>
  <sheetViews>
    <sheetView topLeftCell="E1" workbookViewId="0">
      <selection activeCell="M10" sqref="M10"/>
    </sheetView>
  </sheetViews>
  <sheetFormatPr baseColWidth="10" defaultRowHeight="15" x14ac:dyDescent="0.2"/>
  <cols>
    <col min="10" max="10" width="15.21875" bestFit="1" customWidth="1"/>
    <col min="11" max="11" width="9.88671875" customWidth="1"/>
  </cols>
  <sheetData>
    <row r="1" spans="1:16" x14ac:dyDescent="0.2">
      <c r="A1" t="s">
        <v>0</v>
      </c>
      <c r="B1">
        <v>50</v>
      </c>
      <c r="E1" t="s">
        <v>1</v>
      </c>
      <c r="F1">
        <v>30</v>
      </c>
      <c r="I1" s="1" t="s">
        <v>7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8</v>
      </c>
      <c r="P1" s="1" t="s">
        <v>9</v>
      </c>
    </row>
    <row r="2" spans="1:16" x14ac:dyDescent="0.2">
      <c r="A2" t="s">
        <v>2</v>
      </c>
      <c r="B2">
        <f>(B1/10) + P2</f>
        <v>5</v>
      </c>
      <c r="E2" t="s">
        <v>2</v>
      </c>
      <c r="F2">
        <f>(F1/10) + P5</f>
        <v>5</v>
      </c>
      <c r="I2" s="1"/>
      <c r="J2" s="1">
        <f>1000-I2</f>
        <v>1000</v>
      </c>
      <c r="K2" s="1">
        <f>+P2*250</f>
        <v>0</v>
      </c>
      <c r="L2" s="1">
        <f>(B1-D29)*20</f>
        <v>0</v>
      </c>
      <c r="M2" s="1">
        <f>+K9</f>
        <v>500</v>
      </c>
      <c r="N2" s="1">
        <f>+SUM(J2:M2)</f>
        <v>1500</v>
      </c>
      <c r="P2">
        <v>0</v>
      </c>
    </row>
    <row r="3" spans="1:16" x14ac:dyDescent="0.2">
      <c r="A3">
        <v>1</v>
      </c>
      <c r="B3">
        <f ca="1">IF(B$2&gt;=A3,RANDBETWEEN(1,10),0)</f>
        <v>4</v>
      </c>
      <c r="E3">
        <v>1</v>
      </c>
      <c r="F3">
        <f ca="1">IF(F$2&gt;=E3,RANDBETWEEN(1,10),0)</f>
        <v>8</v>
      </c>
    </row>
    <row r="4" spans="1:16" x14ac:dyDescent="0.2">
      <c r="A4">
        <v>2</v>
      </c>
      <c r="B4">
        <f t="shared" ref="B4:B12" ca="1" si="0">IF(B$2&gt;=A4,RANDBETWEEN(1,10),0)</f>
        <v>10</v>
      </c>
      <c r="E4">
        <v>2</v>
      </c>
      <c r="F4">
        <f t="shared" ref="F4:F12" ca="1" si="1">IF(F$2&gt;=E4,RANDBETWEEN(1,10),0)</f>
        <v>10</v>
      </c>
      <c r="I4" s="1" t="s">
        <v>7</v>
      </c>
      <c r="J4" s="1" t="s">
        <v>3</v>
      </c>
      <c r="K4" s="1" t="s">
        <v>4</v>
      </c>
      <c r="L4" s="1" t="s">
        <v>5</v>
      </c>
      <c r="M4" s="1" t="s">
        <v>6</v>
      </c>
      <c r="N4" s="1" t="s">
        <v>8</v>
      </c>
    </row>
    <row r="5" spans="1:16" x14ac:dyDescent="0.2">
      <c r="A5">
        <v>3</v>
      </c>
      <c r="B5">
        <f t="shared" ca="1" si="0"/>
        <v>1</v>
      </c>
      <c r="E5">
        <v>3</v>
      </c>
      <c r="F5">
        <f t="shared" ca="1" si="1"/>
        <v>8</v>
      </c>
      <c r="I5" s="1">
        <f>+SUM(H17:H25)</f>
        <v>0</v>
      </c>
      <c r="J5" s="1">
        <f>1000-I5</f>
        <v>1000</v>
      </c>
      <c r="K5" s="1">
        <f>+P5*250</f>
        <v>500</v>
      </c>
      <c r="L5" s="1">
        <f>+(F1-E29)*20</f>
        <v>-200</v>
      </c>
      <c r="M5" s="1">
        <f>+K10</f>
        <v>700</v>
      </c>
      <c r="N5" s="1">
        <f>+SUM(J5:M5)</f>
        <v>2000</v>
      </c>
      <c r="P5">
        <v>2</v>
      </c>
    </row>
    <row r="6" spans="1:16" x14ac:dyDescent="0.2">
      <c r="A6">
        <v>4</v>
      </c>
      <c r="B6">
        <f t="shared" ca="1" si="0"/>
        <v>6</v>
      </c>
      <c r="E6">
        <v>4</v>
      </c>
      <c r="F6">
        <f t="shared" ca="1" si="1"/>
        <v>7</v>
      </c>
      <c r="J6" s="5">
        <f>1-(J5/1000+(K12*10)/(K12*10+K10))</f>
        <v>-0.30000000000000004</v>
      </c>
      <c r="K6" s="5">
        <f>IF(J6&lt;0,0,J6)</f>
        <v>0</v>
      </c>
    </row>
    <row r="7" spans="1:16" x14ac:dyDescent="0.2">
      <c r="A7">
        <v>5</v>
      </c>
      <c r="B7">
        <f t="shared" ca="1" si="0"/>
        <v>6</v>
      </c>
      <c r="E7">
        <v>5</v>
      </c>
      <c r="F7">
        <f t="shared" ca="1" si="1"/>
        <v>8</v>
      </c>
    </row>
    <row r="8" spans="1:16" x14ac:dyDescent="0.2">
      <c r="A8">
        <v>6</v>
      </c>
      <c r="B8">
        <f t="shared" ca="1" si="0"/>
        <v>0</v>
      </c>
      <c r="E8">
        <v>6</v>
      </c>
      <c r="F8">
        <f t="shared" ca="1" si="1"/>
        <v>0</v>
      </c>
    </row>
    <row r="9" spans="1:16" x14ac:dyDescent="0.2">
      <c r="A9">
        <v>7</v>
      </c>
      <c r="B9">
        <f t="shared" ca="1" si="0"/>
        <v>0</v>
      </c>
      <c r="E9">
        <v>7</v>
      </c>
      <c r="F9">
        <f t="shared" ca="1" si="1"/>
        <v>0</v>
      </c>
      <c r="J9" t="s">
        <v>11</v>
      </c>
      <c r="K9">
        <f>500-L9</f>
        <v>500</v>
      </c>
    </row>
    <row r="10" spans="1:16" x14ac:dyDescent="0.2">
      <c r="A10">
        <v>8</v>
      </c>
      <c r="B10">
        <f t="shared" ca="1" si="0"/>
        <v>0</v>
      </c>
      <c r="E10">
        <v>8</v>
      </c>
      <c r="F10">
        <f t="shared" ca="1" si="1"/>
        <v>0</v>
      </c>
      <c r="G10" t="str">
        <f ca="1">IF(F10=0,"",IF(F10&gt;K10,0,1))</f>
        <v/>
      </c>
      <c r="J10" t="s">
        <v>11</v>
      </c>
      <c r="K10">
        <f>700-L10</f>
        <v>700</v>
      </c>
    </row>
    <row r="11" spans="1:16" x14ac:dyDescent="0.2">
      <c r="A11">
        <v>9</v>
      </c>
      <c r="B11">
        <f t="shared" ca="1" si="0"/>
        <v>0</v>
      </c>
      <c r="E11">
        <v>9</v>
      </c>
      <c r="F11">
        <f t="shared" ca="1" si="1"/>
        <v>0</v>
      </c>
      <c r="G11" t="str">
        <f ca="1">IF(F11=0,"",IF(F11&gt;K11,0,1))</f>
        <v/>
      </c>
    </row>
    <row r="12" spans="1:16" x14ac:dyDescent="0.2">
      <c r="A12">
        <v>10</v>
      </c>
      <c r="B12">
        <f t="shared" ca="1" si="0"/>
        <v>0</v>
      </c>
      <c r="E12">
        <v>10</v>
      </c>
      <c r="F12">
        <f t="shared" ca="1" si="1"/>
        <v>0</v>
      </c>
      <c r="G12" t="str">
        <f ca="1">IF(F12=0,"",IF(F12&gt;K12,0,1))</f>
        <v/>
      </c>
      <c r="J12" t="s">
        <v>12</v>
      </c>
      <c r="K12">
        <f>+F1</f>
        <v>30</v>
      </c>
    </row>
    <row r="17" spans="2:8" x14ac:dyDescent="0.2">
      <c r="B17">
        <v>5</v>
      </c>
      <c r="C17">
        <v>7</v>
      </c>
      <c r="D17">
        <f xml:space="preserve"> IF(OR(B17=0, C17=0),0,IF(B17&gt;C17,0,1))</f>
        <v>1</v>
      </c>
      <c r="E17">
        <f>IF(OR(B17=0, C17=0),0,IF(B17&lt;C17,0,1))</f>
        <v>0</v>
      </c>
      <c r="G17" s="3"/>
      <c r="H17" s="3">
        <f>+G17*10</f>
        <v>0</v>
      </c>
    </row>
    <row r="18" spans="2:8" x14ac:dyDescent="0.2">
      <c r="B18">
        <v>4</v>
      </c>
      <c r="C18">
        <v>4</v>
      </c>
      <c r="D18">
        <f t="shared" ref="D18:D26" si="2" xml:space="preserve"> IF(OR(B18=0, C18=0),0,IF(B18&gt;C18,0,1))</f>
        <v>1</v>
      </c>
      <c r="E18">
        <f t="shared" ref="E18:E26" si="3">IF(OR(B18=0, C18=0),0,IF(B18&lt;C18,0,1))</f>
        <v>1</v>
      </c>
      <c r="G18" s="3"/>
      <c r="H18" s="3">
        <f t="shared" ref="H18:H25" si="4">+G18*10</f>
        <v>0</v>
      </c>
    </row>
    <row r="19" spans="2:8" x14ac:dyDescent="0.2">
      <c r="B19">
        <v>3</v>
      </c>
      <c r="C19">
        <v>3</v>
      </c>
      <c r="D19">
        <f t="shared" si="2"/>
        <v>1</v>
      </c>
      <c r="E19">
        <f t="shared" si="3"/>
        <v>1</v>
      </c>
      <c r="G19" s="3"/>
      <c r="H19" s="3"/>
    </row>
    <row r="20" spans="2:8" x14ac:dyDescent="0.2">
      <c r="B20">
        <v>2</v>
      </c>
      <c r="C20">
        <v>2</v>
      </c>
      <c r="D20">
        <f t="shared" si="2"/>
        <v>1</v>
      </c>
      <c r="E20">
        <f t="shared" si="3"/>
        <v>1</v>
      </c>
      <c r="G20" s="3"/>
      <c r="H20" s="3"/>
    </row>
    <row r="21" spans="2:8" x14ac:dyDescent="0.2">
      <c r="B21">
        <v>1</v>
      </c>
      <c r="C21">
        <v>1</v>
      </c>
      <c r="D21">
        <f t="shared" si="2"/>
        <v>1</v>
      </c>
      <c r="E21">
        <f t="shared" si="3"/>
        <v>1</v>
      </c>
      <c r="G21" s="3"/>
      <c r="H21" s="3"/>
    </row>
    <row r="22" spans="2:8" x14ac:dyDescent="0.2">
      <c r="B22">
        <v>0</v>
      </c>
      <c r="C22">
        <v>0</v>
      </c>
      <c r="D22">
        <f t="shared" si="2"/>
        <v>0</v>
      </c>
      <c r="E22">
        <f t="shared" si="3"/>
        <v>0</v>
      </c>
      <c r="G22" s="3"/>
      <c r="H22" s="3"/>
    </row>
    <row r="23" spans="2:8" x14ac:dyDescent="0.2">
      <c r="B23">
        <v>0</v>
      </c>
      <c r="C23">
        <v>0</v>
      </c>
      <c r="D23">
        <f t="shared" si="2"/>
        <v>0</v>
      </c>
      <c r="E23">
        <f t="shared" si="3"/>
        <v>0</v>
      </c>
      <c r="G23" s="3"/>
      <c r="H23" s="3"/>
    </row>
    <row r="24" spans="2:8" x14ac:dyDescent="0.2">
      <c r="B24">
        <v>0</v>
      </c>
      <c r="C24">
        <v>0</v>
      </c>
      <c r="D24">
        <f t="shared" si="2"/>
        <v>0</v>
      </c>
      <c r="E24">
        <f t="shared" si="3"/>
        <v>0</v>
      </c>
      <c r="G24" s="3"/>
      <c r="H24" s="3"/>
    </row>
    <row r="25" spans="2:8" x14ac:dyDescent="0.2">
      <c r="B25">
        <v>0</v>
      </c>
      <c r="C25">
        <v>0</v>
      </c>
      <c r="D25">
        <f t="shared" si="2"/>
        <v>0</v>
      </c>
      <c r="E25">
        <f t="shared" si="3"/>
        <v>0</v>
      </c>
      <c r="G25" s="3"/>
      <c r="H25" s="3"/>
    </row>
    <row r="26" spans="2:8" x14ac:dyDescent="0.2">
      <c r="B26">
        <v>0</v>
      </c>
      <c r="C26">
        <v>0</v>
      </c>
      <c r="D26">
        <f t="shared" si="2"/>
        <v>0</v>
      </c>
      <c r="E26">
        <f t="shared" si="3"/>
        <v>0</v>
      </c>
    </row>
    <row r="28" spans="2:8" x14ac:dyDescent="0.2">
      <c r="D28" s="2" t="s">
        <v>10</v>
      </c>
      <c r="E28" s="2"/>
    </row>
    <row r="29" spans="2:8" x14ac:dyDescent="0.2">
      <c r="D29">
        <f>SUM(D17:D26)*10</f>
        <v>50</v>
      </c>
      <c r="E29">
        <f>SUM(E17:E26)*10</f>
        <v>40</v>
      </c>
    </row>
  </sheetData>
  <sortState xmlns:xlrd2="http://schemas.microsoft.com/office/spreadsheetml/2017/richdata2" ref="C17:C26">
    <sortCondition descending="1" ref="C17:C26"/>
  </sortState>
  <mergeCells count="1">
    <mergeCell ref="D28:E2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245EE-D17B-4FCF-8C1F-519BE12961FB}">
  <dimension ref="A1:P30"/>
  <sheetViews>
    <sheetView topLeftCell="C1" workbookViewId="0">
      <selection activeCell="J5" sqref="J5"/>
    </sheetView>
  </sheetViews>
  <sheetFormatPr baseColWidth="10" defaultRowHeight="15" x14ac:dyDescent="0.2"/>
  <cols>
    <col min="10" max="10" width="15.21875" bestFit="1" customWidth="1"/>
    <col min="11" max="11" width="9.88671875" customWidth="1"/>
  </cols>
  <sheetData>
    <row r="1" spans="1:16" x14ac:dyDescent="0.2">
      <c r="A1" t="s">
        <v>0</v>
      </c>
      <c r="B1">
        <v>50</v>
      </c>
      <c r="E1" t="s">
        <v>1</v>
      </c>
      <c r="F1">
        <v>30</v>
      </c>
      <c r="I1" s="1" t="s">
        <v>7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8</v>
      </c>
      <c r="P1" s="1" t="s">
        <v>9</v>
      </c>
    </row>
    <row r="2" spans="1:16" x14ac:dyDescent="0.2">
      <c r="A2" t="s">
        <v>2</v>
      </c>
      <c r="B2">
        <f>(B1/10) + P2</f>
        <v>5</v>
      </c>
      <c r="E2" t="s">
        <v>2</v>
      </c>
      <c r="F2">
        <f>(F1/10) + P5</f>
        <v>3</v>
      </c>
      <c r="I2" s="1"/>
      <c r="J2" s="1">
        <f>1000-I2</f>
        <v>1000</v>
      </c>
      <c r="K2" s="1">
        <f>+P2*250</f>
        <v>0</v>
      </c>
      <c r="L2" s="1">
        <f>(B1-D29)*20</f>
        <v>400</v>
      </c>
      <c r="M2" s="1">
        <f>+K9</f>
        <v>500</v>
      </c>
      <c r="N2" s="1">
        <f>+SUM(J2:M2)</f>
        <v>1900</v>
      </c>
      <c r="P2">
        <v>0</v>
      </c>
    </row>
    <row r="3" spans="1:16" x14ac:dyDescent="0.2">
      <c r="A3">
        <v>1</v>
      </c>
      <c r="B3">
        <f ca="1">IF(B$2&gt;=A3,RANDBETWEEN(1,10),0)</f>
        <v>5</v>
      </c>
      <c r="E3">
        <v>1</v>
      </c>
      <c r="F3">
        <f ca="1">IF(F$2&gt;=E3,RANDBETWEEN(1,10),0)</f>
        <v>9</v>
      </c>
    </row>
    <row r="4" spans="1:16" x14ac:dyDescent="0.2">
      <c r="A4">
        <v>2</v>
      </c>
      <c r="B4">
        <f t="shared" ref="B4:B12" ca="1" si="0">IF(B$2&gt;=A4,RANDBETWEEN(1,10),0)</f>
        <v>10</v>
      </c>
      <c r="E4">
        <v>2</v>
      </c>
      <c r="F4">
        <f t="shared" ref="F4:F12" ca="1" si="1">IF(F$2&gt;=E4,RANDBETWEEN(1,10),0)</f>
        <v>8</v>
      </c>
      <c r="I4" s="1" t="s">
        <v>7</v>
      </c>
      <c r="J4" s="1" t="s">
        <v>3</v>
      </c>
      <c r="K4" s="1" t="s">
        <v>4</v>
      </c>
      <c r="L4" s="1" t="s">
        <v>5</v>
      </c>
      <c r="M4" s="1" t="s">
        <v>6</v>
      </c>
      <c r="N4" s="1" t="s">
        <v>8</v>
      </c>
    </row>
    <row r="5" spans="1:16" x14ac:dyDescent="0.2">
      <c r="A5">
        <v>3</v>
      </c>
      <c r="B5">
        <f t="shared" ca="1" si="0"/>
        <v>9</v>
      </c>
      <c r="E5">
        <v>3</v>
      </c>
      <c r="F5">
        <f t="shared" ca="1" si="1"/>
        <v>9</v>
      </c>
      <c r="I5" s="1">
        <f>+SUM(H17:H21)</f>
        <v>40</v>
      </c>
      <c r="J5" s="1">
        <f>1000-I5</f>
        <v>960</v>
      </c>
      <c r="K5" s="1">
        <f>+P5*250</f>
        <v>0</v>
      </c>
      <c r="L5" s="1">
        <f>+(F1-E29)*20</f>
        <v>200</v>
      </c>
      <c r="M5" s="1">
        <f>+K10</f>
        <v>700</v>
      </c>
      <c r="N5" s="1">
        <f>+SUM(J5:M5)</f>
        <v>1860</v>
      </c>
      <c r="P5">
        <v>0</v>
      </c>
    </row>
    <row r="6" spans="1:16" x14ac:dyDescent="0.2">
      <c r="A6">
        <v>4</v>
      </c>
      <c r="B6">
        <f t="shared" ca="1" si="0"/>
        <v>1</v>
      </c>
      <c r="E6">
        <v>4</v>
      </c>
      <c r="F6">
        <f t="shared" ca="1" si="1"/>
        <v>0</v>
      </c>
      <c r="J6" s="7">
        <f>1-((J5/1000) * (K12*10)/(K12*10+K10) + K14)</f>
        <v>-0.28800000000000003</v>
      </c>
      <c r="K6" s="7">
        <f>IF(J6&lt;0,0,J6)</f>
        <v>0</v>
      </c>
    </row>
    <row r="7" spans="1:16" x14ac:dyDescent="0.2">
      <c r="A7">
        <v>5</v>
      </c>
      <c r="B7">
        <f t="shared" ca="1" si="0"/>
        <v>8</v>
      </c>
      <c r="E7">
        <v>5</v>
      </c>
      <c r="F7">
        <f t="shared" ca="1" si="1"/>
        <v>0</v>
      </c>
      <c r="J7" s="6"/>
      <c r="K7" s="6"/>
    </row>
    <row r="8" spans="1:16" x14ac:dyDescent="0.2">
      <c r="A8">
        <v>6</v>
      </c>
      <c r="B8">
        <f t="shared" ca="1" si="0"/>
        <v>0</v>
      </c>
      <c r="E8">
        <v>6</v>
      </c>
      <c r="F8">
        <f t="shared" ca="1" si="1"/>
        <v>0</v>
      </c>
    </row>
    <row r="9" spans="1:16" x14ac:dyDescent="0.2">
      <c r="A9">
        <v>7</v>
      </c>
      <c r="B9">
        <f t="shared" ca="1" si="0"/>
        <v>0</v>
      </c>
      <c r="E9">
        <v>7</v>
      </c>
      <c r="F9">
        <f t="shared" ca="1" si="1"/>
        <v>0</v>
      </c>
      <c r="J9" t="s">
        <v>11</v>
      </c>
      <c r="K9">
        <v>500</v>
      </c>
      <c r="N9">
        <f>50*10</f>
        <v>500</v>
      </c>
      <c r="O9">
        <f>+K9</f>
        <v>500</v>
      </c>
      <c r="P9">
        <f>+N9+O9</f>
        <v>1000</v>
      </c>
    </row>
    <row r="10" spans="1:16" x14ac:dyDescent="0.2">
      <c r="A10">
        <v>8</v>
      </c>
      <c r="B10">
        <f t="shared" ca="1" si="0"/>
        <v>0</v>
      </c>
      <c r="E10">
        <v>8</v>
      </c>
      <c r="F10">
        <f t="shared" ca="1" si="1"/>
        <v>0</v>
      </c>
      <c r="G10" t="str">
        <f ca="1">IF(F10=0,"",IF(F10&gt;K10,0,1))</f>
        <v/>
      </c>
      <c r="J10" t="s">
        <v>11</v>
      </c>
      <c r="K10">
        <v>700</v>
      </c>
      <c r="N10">
        <f>+F1*10</f>
        <v>300</v>
      </c>
      <c r="O10">
        <f>+K10</f>
        <v>700</v>
      </c>
      <c r="P10">
        <f>+N10+O10</f>
        <v>1000</v>
      </c>
    </row>
    <row r="11" spans="1:16" x14ac:dyDescent="0.2">
      <c r="A11">
        <v>9</v>
      </c>
      <c r="B11">
        <f t="shared" ca="1" si="0"/>
        <v>0</v>
      </c>
      <c r="E11">
        <v>9</v>
      </c>
      <c r="F11">
        <f t="shared" ca="1" si="1"/>
        <v>0</v>
      </c>
      <c r="G11" t="str">
        <f ca="1">IF(F11=0,"",IF(F11&gt;K11,0,1))</f>
        <v/>
      </c>
    </row>
    <row r="12" spans="1:16" x14ac:dyDescent="0.2">
      <c r="A12">
        <v>10</v>
      </c>
      <c r="B12">
        <f t="shared" ca="1" si="0"/>
        <v>0</v>
      </c>
      <c r="E12">
        <v>10</v>
      </c>
      <c r="F12">
        <f t="shared" ca="1" si="1"/>
        <v>0</v>
      </c>
      <c r="G12" t="str">
        <f ca="1">IF(F12=0,"",IF(F12&gt;K12,0,1))</f>
        <v/>
      </c>
      <c r="J12" t="s">
        <v>12</v>
      </c>
      <c r="K12">
        <f>+F1</f>
        <v>30</v>
      </c>
    </row>
    <row r="14" spans="1:16" x14ac:dyDescent="0.2">
      <c r="J14" t="s">
        <v>18</v>
      </c>
      <c r="K14" s="4">
        <v>1</v>
      </c>
    </row>
    <row r="16" spans="1:16" x14ac:dyDescent="0.2">
      <c r="B16" s="1" t="s">
        <v>14</v>
      </c>
      <c r="C16" s="1" t="s">
        <v>15</v>
      </c>
      <c r="D16" s="1" t="s">
        <v>16</v>
      </c>
      <c r="E16" s="1" t="s">
        <v>17</v>
      </c>
    </row>
    <row r="17" spans="1:8" x14ac:dyDescent="0.2">
      <c r="A17">
        <v>1</v>
      </c>
      <c r="B17" s="1">
        <v>7</v>
      </c>
      <c r="C17" s="1">
        <v>8</v>
      </c>
      <c r="D17" s="1">
        <f xml:space="preserve"> IF(OR(B17=0, C17=0),0,IF(B17&gt;C17,0,1))</f>
        <v>1</v>
      </c>
      <c r="E17" s="1">
        <f>IF(OR(B17=0, C17=0),0,IF(B17&lt;C17,0,1))</f>
        <v>0</v>
      </c>
    </row>
    <row r="18" spans="1:8" x14ac:dyDescent="0.2">
      <c r="B18" s="1">
        <v>7</v>
      </c>
      <c r="C18" s="1">
        <v>7</v>
      </c>
      <c r="D18" s="1">
        <f t="shared" ref="D18:D26" si="2" xml:space="preserve"> IF(OR(B18=0, C18=0),0,IF(B18&gt;C18,0,1))</f>
        <v>1</v>
      </c>
      <c r="E18" s="1">
        <f t="shared" ref="E18:E26" si="3">IF(OR(B18=0, C18=0),0,IF(B18&lt;C18,0,1))</f>
        <v>1</v>
      </c>
      <c r="G18" s="1">
        <v>3</v>
      </c>
      <c r="H18">
        <f>+G18*10</f>
        <v>30</v>
      </c>
    </row>
    <row r="19" spans="1:8" x14ac:dyDescent="0.2">
      <c r="B19" s="1">
        <v>4</v>
      </c>
      <c r="C19" s="1">
        <v>4</v>
      </c>
      <c r="D19" s="1">
        <f t="shared" si="2"/>
        <v>1</v>
      </c>
      <c r="E19" s="1">
        <f t="shared" si="3"/>
        <v>1</v>
      </c>
      <c r="G19" s="1">
        <v>1</v>
      </c>
      <c r="H19">
        <f>+G19*10</f>
        <v>10</v>
      </c>
    </row>
    <row r="20" spans="1:8" x14ac:dyDescent="0.2">
      <c r="B20" s="1">
        <v>3</v>
      </c>
      <c r="C20" s="1">
        <v>0</v>
      </c>
      <c r="D20" s="1">
        <f t="shared" si="2"/>
        <v>0</v>
      </c>
      <c r="E20" s="1">
        <f t="shared" si="3"/>
        <v>0</v>
      </c>
    </row>
    <row r="21" spans="1:8" x14ac:dyDescent="0.2">
      <c r="B21" s="1">
        <v>1</v>
      </c>
      <c r="C21" s="1">
        <v>0</v>
      </c>
      <c r="D21" s="1">
        <f t="shared" si="2"/>
        <v>0</v>
      </c>
      <c r="E21" s="1">
        <f t="shared" si="3"/>
        <v>0</v>
      </c>
    </row>
    <row r="22" spans="1:8" x14ac:dyDescent="0.2">
      <c r="B22" s="1">
        <v>0</v>
      </c>
      <c r="C22" s="1">
        <v>0</v>
      </c>
      <c r="D22" s="1">
        <f t="shared" si="2"/>
        <v>0</v>
      </c>
      <c r="E22" s="1">
        <f t="shared" si="3"/>
        <v>0</v>
      </c>
    </row>
    <row r="23" spans="1:8" x14ac:dyDescent="0.2">
      <c r="B23" s="1">
        <v>0</v>
      </c>
      <c r="C23" s="1">
        <v>0</v>
      </c>
      <c r="D23" s="1">
        <f t="shared" si="2"/>
        <v>0</v>
      </c>
      <c r="E23" s="1">
        <f t="shared" si="3"/>
        <v>0</v>
      </c>
    </row>
    <row r="24" spans="1:8" x14ac:dyDescent="0.2">
      <c r="B24" s="1">
        <v>0</v>
      </c>
      <c r="C24" s="1">
        <v>0</v>
      </c>
      <c r="D24" s="1">
        <f t="shared" si="2"/>
        <v>0</v>
      </c>
      <c r="E24" s="1">
        <f t="shared" si="3"/>
        <v>0</v>
      </c>
    </row>
    <row r="25" spans="1:8" x14ac:dyDescent="0.2">
      <c r="B25" s="1">
        <v>0</v>
      </c>
      <c r="C25" s="1">
        <v>0</v>
      </c>
      <c r="D25" s="1">
        <f t="shared" si="2"/>
        <v>0</v>
      </c>
      <c r="E25" s="1">
        <f t="shared" si="3"/>
        <v>0</v>
      </c>
    </row>
    <row r="26" spans="1:8" x14ac:dyDescent="0.2">
      <c r="B26" s="1">
        <v>0</v>
      </c>
      <c r="C26" s="1">
        <v>0</v>
      </c>
      <c r="D26" s="1">
        <f t="shared" si="2"/>
        <v>0</v>
      </c>
      <c r="E26" s="1">
        <f t="shared" si="3"/>
        <v>0</v>
      </c>
    </row>
    <row r="28" spans="1:8" x14ac:dyDescent="0.2">
      <c r="D28" s="2" t="s">
        <v>10</v>
      </c>
      <c r="E28" s="2"/>
    </row>
    <row r="29" spans="1:8" x14ac:dyDescent="0.2">
      <c r="D29">
        <f>SUM(D17:D26)*10</f>
        <v>30</v>
      </c>
      <c r="E29">
        <f>SUM(E17:E26)*10</f>
        <v>20</v>
      </c>
    </row>
    <row r="30" spans="1:8" x14ac:dyDescent="0.2">
      <c r="D30">
        <v>20</v>
      </c>
      <c r="E30">
        <v>10</v>
      </c>
    </row>
  </sheetData>
  <sortState xmlns:xlrd2="http://schemas.microsoft.com/office/spreadsheetml/2017/richdata2" ref="C17:C26">
    <sortCondition descending="1" ref="C17:C26"/>
  </sortState>
  <mergeCells count="1">
    <mergeCell ref="D28:E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 (6)</vt:lpstr>
      <vt:lpstr>Hoja1 (5)</vt:lpstr>
      <vt:lpstr>Hoja1 (4)</vt:lpstr>
      <vt:lpstr>Hoja1 (3)</vt:lpstr>
      <vt:lpstr>Hoja1 (2)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A. Niño C.</dc:creator>
  <cp:lastModifiedBy>Marco A. Niño C.</cp:lastModifiedBy>
  <dcterms:created xsi:type="dcterms:W3CDTF">2021-06-11T21:12:28Z</dcterms:created>
  <dcterms:modified xsi:type="dcterms:W3CDTF">2021-06-12T05:57:51Z</dcterms:modified>
</cp:coreProperties>
</file>